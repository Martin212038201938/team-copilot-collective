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1. Eingaben" sheetId="1" state="visible" r:id="rId1"/>
    <sheet xmlns:r="http://schemas.openxmlformats.org/officeDocument/2006/relationships" name="2. Executive Summary" sheetId="2" state="visible" r:id="rId2"/>
    <sheet xmlns:r="http://schemas.openxmlformats.org/officeDocument/2006/relationships" name="3. 3-Jahres-Verlauf" sheetId="3" state="visible" r:id="rId3"/>
    <sheet xmlns:r="http://schemas.openxmlformats.org/officeDocument/2006/relationships" name="4. Szenarien" sheetId="4" state="visible" r:id="rId4"/>
    <sheet xmlns:r="http://schemas.openxmlformats.org/officeDocument/2006/relationships" name="5. Berechnung" sheetId="5" state="visible" r:id="rId5"/>
    <sheet xmlns:r="http://schemas.openxmlformats.org/officeDocument/2006/relationships" name="6. Quellen &amp; Methodik" sheetId="6" state="visible" r:id="rId6"/>
  </sheets>
  <definedNames/>
  <calcPr calcId="124519" fullCalcOnLoad="1"/>
</workbook>
</file>

<file path=xl/styles.xml><?xml version="1.0" encoding="utf-8"?>
<styleSheet xmlns="http://schemas.openxmlformats.org/spreadsheetml/2006/main">
  <numFmts count="8">
    <numFmt numFmtId="164" formatCode="#,##0;[Red](#,##0);-"/>
    <numFmt numFmtId="165" formatCode="#,##0&quot; €&quot;;[Red](#,##0&quot; €&quot;);-"/>
    <numFmt numFmtId="166" formatCode="0.0&quot; Std./Monat&quot;"/>
    <numFmt numFmtId="167" formatCode="0%;[Red](0%);-"/>
    <numFmt numFmtId="168" formatCode="0.0&quot; Monate&quot;"/>
    <numFmt numFmtId="169" formatCode="0.0&quot; Std.&quot;"/>
    <numFmt numFmtId="170" formatCode="0&quot; Monate&quot;"/>
    <numFmt numFmtId="171" formatCode=";;;"/>
  </numFmts>
  <fonts count="18">
    <font>
      <name val="Carlito"/>
      <sz val="11"/>
    </font>
    <font>
      <name val="Carlito"/>
      <b val="1"/>
      <color rgb="FFFFFFFF"/>
      <sz val="18"/>
    </font>
    <font>
      <name val="Carlito"/>
      <b val="1"/>
      <color rgb="FF1F4E79"/>
      <sz val="11"/>
    </font>
    <font>
      <name val="Carlito"/>
      <b val="1"/>
      <color rgb="FF000000"/>
      <sz val="11"/>
    </font>
    <font>
      <name val="Carlito"/>
      <b val="1"/>
      <color rgb="FFFFFFFF"/>
      <sz val="10"/>
    </font>
    <font>
      <name val="Carlito"/>
      <b val="1"/>
      <color rgb="FF0000FF"/>
      <sz val="11"/>
    </font>
    <font>
      <name val="Carlito"/>
      <i val="1"/>
      <color rgb="FF1F4E79"/>
      <sz val="11"/>
    </font>
    <font>
      <name val="Carlito"/>
      <i val="1"/>
      <color rgb="FF666666"/>
      <sz val="11"/>
    </font>
    <font>
      <name val="Carlito"/>
      <b val="1"/>
      <color rgb="FF375623"/>
      <sz val="11"/>
    </font>
    <font>
      <name val="Carlito"/>
      <b val="1"/>
      <color rgb="FFED7D31"/>
      <sz val="11"/>
    </font>
    <font>
      <name val="Carlito"/>
      <i val="1"/>
      <color rgb="FFED7D31"/>
      <sz val="11"/>
    </font>
    <font>
      <name val="Carlito"/>
      <b val="1"/>
      <color rgb="FF666666"/>
      <sz val="11"/>
    </font>
    <font>
      <name val="Carlito"/>
      <color rgb="FFFFFFFF"/>
      <sz val="11"/>
    </font>
    <font>
      <name val="Carlito"/>
      <i val="1"/>
      <color rgb="FF375623"/>
      <sz val="11"/>
    </font>
    <font>
      <name val="Carlito"/>
      <b val="1"/>
      <i val="1"/>
      <color rgb="FF375623"/>
      <sz val="11"/>
    </font>
    <font>
      <name val="Carlito"/>
      <b val="1"/>
      <i val="1"/>
      <color rgb="FFED7D31"/>
      <sz val="11"/>
    </font>
    <font>
      <name val="Carlito"/>
      <color rgb="FFFFFFFF"/>
      <sz val="1"/>
    </font>
    <font>
      <name val="Carlito"/>
      <b val="1"/>
      <color rgb="FF375623"/>
      <sz val="12"/>
    </font>
  </fonts>
  <fills count="9">
    <fill>
      <patternFill/>
    </fill>
    <fill>
      <patternFill patternType="gray125"/>
    </fill>
    <fill>
      <patternFill patternType="solid">
        <fgColor rgb="FF1F4E79"/>
      </patternFill>
    </fill>
    <fill>
      <patternFill patternType="solid">
        <fgColor rgb="FFEAF3F8"/>
      </patternFill>
    </fill>
    <fill>
      <patternFill patternType="solid">
        <fgColor rgb="FFE7E6E6"/>
      </patternFill>
    </fill>
    <fill>
      <patternFill patternType="solid">
        <fgColor rgb="FFFFF2CC"/>
      </patternFill>
    </fill>
    <fill>
      <patternFill patternType="solid">
        <fgColor rgb="FFE2F0D9"/>
      </patternFill>
    </fill>
    <fill>
      <patternFill patternType="solid">
        <fgColor rgb="FFFCE4D6"/>
      </patternFill>
    </fill>
    <fill>
      <patternFill patternType="solid">
        <fgColor rgb="FFFFFFFF"/>
      </patternFill>
    </fill>
  </fills>
  <borders count="13">
    <border/>
    <border>
      <left style="thin">
        <color rgb="FFA6A6A6"/>
      </left>
      <top style="thin">
        <color rgb="FFA6A6A6"/>
      </top>
      <bottom style="thin">
        <color rgb="FFA6A6A6"/>
      </bottom>
    </border>
    <border>
      <top style="thin">
        <color rgb="FFA6A6A6"/>
      </top>
      <bottom style="thin">
        <color rgb="FFA6A6A6"/>
      </bottom>
    </border>
    <border>
      <right style="thin">
        <color rgb="FFA6A6A6"/>
      </right>
      <top style="thin">
        <color rgb="FFA6A6A6"/>
      </top>
      <bottom style="thin">
        <color rgb="FFA6A6A6"/>
      </bottom>
    </border>
    <border>
      <left style="thin">
        <color rgb="FFA6A6A6"/>
      </left>
      <right style="thin">
        <color rgb="FFA6A6A6"/>
      </right>
      <top style="thin">
        <color rgb="FFA6A6A6"/>
      </top>
      <bottom style="thin">
        <color rgb="FFA6A6A6"/>
      </bottom>
    </border>
    <border>
      <left style="thin">
        <color rgb="FFA6A6A6"/>
      </left>
      <top style="thin">
        <color rgb="FFA6A6A6"/>
      </top>
    </border>
    <border>
      <top style="thin">
        <color rgb="FFA6A6A6"/>
      </top>
    </border>
    <border>
      <right style="thin">
        <color rgb="FFA6A6A6"/>
      </right>
      <top style="thin">
        <color rgb="FFA6A6A6"/>
      </top>
    </border>
    <border>
      <left style="thin">
        <color rgb="FFA6A6A6"/>
      </left>
    </border>
    <border>
      <right style="thin">
        <color rgb="FFA6A6A6"/>
      </right>
    </border>
    <border>
      <left style="thin">
        <color rgb="FFA6A6A6"/>
      </left>
      <bottom style="thin">
        <color rgb="FFA6A6A6"/>
      </bottom>
    </border>
    <border>
      <bottom style="thin">
        <color rgb="FFA6A6A6"/>
      </bottom>
    </border>
    <border>
      <right style="thin">
        <color rgb="FFA6A6A6"/>
      </right>
      <bottom style="thin">
        <color rgb="FFA6A6A6"/>
      </bottom>
    </border>
  </borders>
  <cellStyleXfs count="1">
    <xf numFmtId="0" fontId="0" fillId="0" borderId="0"/>
  </cellStyleXfs>
  <cellXfs count="164">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2" fillId="0"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1" pivotButton="0" quotePrefix="0" xfId="0"/>
    <xf numFmtId="0" fontId="3" fillId="4" borderId="2" pivotButton="0" quotePrefix="0" xfId="0"/>
    <xf numFmtId="0" fontId="3" fillId="4" borderId="3" pivotButton="0" quotePrefix="0" xfId="0"/>
    <xf numFmtId="0" fontId="3" fillId="4" borderId="1" applyAlignment="1" pivotButton="0" quotePrefix="0" xfId="0">
      <alignment vertical="center"/>
    </xf>
    <xf numFmtId="0" fontId="3" fillId="4" borderId="2" applyAlignment="1" pivotButton="0" quotePrefix="0" xfId="0">
      <alignment vertical="center"/>
    </xf>
    <xf numFmtId="0" fontId="3" fillId="4" borderId="3" applyAlignment="1" pivotButton="0" quotePrefix="0" xfId="0">
      <alignment vertical="center"/>
    </xf>
    <xf numFmtId="0" fontId="4" fillId="2" borderId="0" pivotButton="0" quotePrefix="0" xfId="0"/>
    <xf numFmtId="0" fontId="4" fillId="2" borderId="0" applyAlignment="1" pivotButton="0" quotePrefix="0" xfId="0">
      <alignment horizontal="center"/>
    </xf>
    <xf numFmtId="0" fontId="4" fillId="2" borderId="0" applyAlignment="1" pivotButton="0" quotePrefix="0" xfId="0">
      <alignment horizontal="center" vertical="center"/>
    </xf>
    <xf numFmtId="0" fontId="4" fillId="2" borderId="4" applyAlignment="1" pivotButton="0" quotePrefix="0" xfId="0">
      <alignment horizontal="center" vertical="center"/>
    </xf>
    <xf numFmtId="0" fontId="0" fillId="0" borderId="4" pivotButton="0" quotePrefix="0" xfId="0"/>
    <xf numFmtId="0" fontId="0" fillId="0" borderId="4" applyAlignment="1" pivotButton="0" quotePrefix="0" xfId="0">
      <alignment vertical="center"/>
    </xf>
    <xf numFmtId="0" fontId="0" fillId="5" borderId="4" applyAlignment="1" pivotButton="0" quotePrefix="0" xfId="0">
      <alignment vertical="center"/>
    </xf>
    <xf numFmtId="0" fontId="5" fillId="5" borderId="4" applyAlignment="1" pivotButton="0" quotePrefix="0" xfId="0">
      <alignment vertical="center"/>
    </xf>
    <xf numFmtId="164" fontId="5" fillId="5" borderId="4" applyAlignment="1" pivotButton="0" quotePrefix="0" xfId="0">
      <alignment vertical="center"/>
    </xf>
    <xf numFmtId="165" fontId="5" fillId="5" borderId="4" applyAlignment="1" pivotButton="0" quotePrefix="0" xfId="0">
      <alignment vertical="center"/>
    </xf>
    <xf numFmtId="0" fontId="0" fillId="3" borderId="0" pivotButton="0" quotePrefix="0" xfId="0"/>
    <xf numFmtId="0" fontId="6" fillId="3" borderId="0" pivotButton="0" quotePrefix="0" xfId="0"/>
    <xf numFmtId="0" fontId="6" fillId="3" borderId="0" applyAlignment="1" pivotButton="0" quotePrefix="0" xfId="0">
      <alignment wrapText="1"/>
    </xf>
    <xf numFmtId="0" fontId="6" fillId="3" borderId="0" applyAlignment="1" pivotButton="0" quotePrefix="0" xfId="0">
      <alignment vertical="center" wrapText="1"/>
    </xf>
    <xf numFmtId="0" fontId="6" fillId="3" borderId="5" applyAlignment="1" pivotButton="0" quotePrefix="0" xfId="0">
      <alignment vertical="center" wrapText="1"/>
    </xf>
    <xf numFmtId="0" fontId="6" fillId="3" borderId="6" applyAlignment="1" pivotButton="0" quotePrefix="0" xfId="0">
      <alignment vertical="center" wrapText="1"/>
    </xf>
    <xf numFmtId="0" fontId="6" fillId="3" borderId="7" applyAlignment="1" pivotButton="0" quotePrefix="0" xfId="0">
      <alignment vertical="center" wrapText="1"/>
    </xf>
    <xf numFmtId="0" fontId="6" fillId="3" borderId="8" applyAlignment="1" pivotButton="0" quotePrefix="0" xfId="0">
      <alignment vertical="center" wrapText="1"/>
    </xf>
    <xf numFmtId="0" fontId="6" fillId="3" borderId="9" applyAlignment="1" pivotButton="0" quotePrefix="0" xfId="0">
      <alignment vertical="center" wrapText="1"/>
    </xf>
    <xf numFmtId="0" fontId="6" fillId="3" borderId="10" applyAlignment="1" pivotButton="0" quotePrefix="0" xfId="0">
      <alignment vertical="center" wrapText="1"/>
    </xf>
    <xf numFmtId="0" fontId="6" fillId="3" borderId="11" applyAlignment="1" pivotButton="0" quotePrefix="0" xfId="0">
      <alignment vertical="center" wrapText="1"/>
    </xf>
    <xf numFmtId="0" fontId="6" fillId="3" borderId="12" applyAlignment="1" pivotButton="0" quotePrefix="0" xfId="0">
      <alignment vertical="center" wrapText="1"/>
    </xf>
    <xf numFmtId="0" fontId="7" fillId="0" borderId="0" pivotButton="0" quotePrefix="0" xfId="0"/>
    <xf numFmtId="0" fontId="7" fillId="0" borderId="0" applyAlignment="1" pivotButton="0" quotePrefix="0" xfId="0">
      <alignment wrapText="1"/>
    </xf>
    <xf numFmtId="0" fontId="0" fillId="3" borderId="4" applyAlignment="1" pivotButton="0" quotePrefix="0" xfId="0">
      <alignment vertical="center"/>
    </xf>
    <xf numFmtId="0" fontId="2" fillId="3" borderId="4" applyAlignment="1" pivotButton="0" quotePrefix="0" xfId="0">
      <alignment vertical="center"/>
    </xf>
    <xf numFmtId="166" fontId="2" fillId="3" borderId="4" applyAlignment="1" pivotButton="0" quotePrefix="0" xfId="0">
      <alignment vertical="center"/>
    </xf>
    <xf numFmtId="0" fontId="0" fillId="6" borderId="4" applyAlignment="1" pivotButton="0" quotePrefix="0" xfId="0">
      <alignment vertical="center"/>
    </xf>
    <xf numFmtId="0" fontId="8" fillId="6" borderId="4" applyAlignment="1" pivotButton="0" quotePrefix="0" xfId="0">
      <alignment vertical="center"/>
    </xf>
    <xf numFmtId="167" fontId="8" fillId="6" borderId="4" applyAlignment="1" pivotButton="0" quotePrefix="0" xfId="0">
      <alignment vertical="center"/>
    </xf>
    <xf numFmtId="167" fontId="2" fillId="3" borderId="4" applyAlignment="1" pivotButton="0" quotePrefix="0" xfId="0">
      <alignment vertical="center"/>
    </xf>
    <xf numFmtId="164" fontId="8" fillId="6" borderId="4" applyAlignment="1" pivotButton="0" quotePrefix="0" xfId="0">
      <alignment vertical="center"/>
    </xf>
    <xf numFmtId="167" fontId="8" fillId="3" borderId="4" applyAlignment="1" pivotButton="0" quotePrefix="0" xfId="0">
      <alignment vertical="center"/>
    </xf>
    <xf numFmtId="164" fontId="8" fillId="3" borderId="4" applyAlignment="1" pivotButton="0" quotePrefix="0" xfId="0">
      <alignment vertical="center"/>
    </xf>
    <xf numFmtId="168" fontId="2" fillId="3" borderId="4" applyAlignment="1" pivotButton="0" quotePrefix="0" xfId="0">
      <alignment vertical="center"/>
    </xf>
    <xf numFmtId="0" fontId="0" fillId="0" borderId="4" applyAlignment="1" pivotButton="0" quotePrefix="0" xfId="0">
      <alignment vertical="center" wrapText="1"/>
    </xf>
    <xf numFmtId="0" fontId="0" fillId="7" borderId="4" applyAlignment="1" pivotButton="0" quotePrefix="0" xfId="0">
      <alignment vertical="center"/>
    </xf>
    <xf numFmtId="0" fontId="0" fillId="7" borderId="4" applyAlignment="1" pivotButton="0" quotePrefix="0" xfId="0">
      <alignment vertical="center" wrapText="1"/>
    </xf>
    <xf numFmtId="0" fontId="9" fillId="7" borderId="4" applyAlignment="1" pivotButton="0" quotePrefix="0" xfId="0">
      <alignment vertical="center"/>
    </xf>
    <xf numFmtId="0" fontId="9" fillId="7" borderId="4" applyAlignment="1" pivotButton="0" quotePrefix="0" xfId="0">
      <alignment vertical="center" wrapText="1"/>
    </xf>
    <xf numFmtId="169" fontId="0" fillId="0" borderId="4" applyAlignment="1" pivotButton="0" quotePrefix="0" xfId="0">
      <alignment vertical="center"/>
    </xf>
    <xf numFmtId="0" fontId="0" fillId="7" borderId="0" pivotButton="0" quotePrefix="0" xfId="0"/>
    <xf numFmtId="0" fontId="10" fillId="7" borderId="0" pivotButton="0" quotePrefix="0" xfId="0"/>
    <xf numFmtId="0" fontId="10" fillId="7" borderId="0" applyAlignment="1" pivotButton="0" quotePrefix="0" xfId="0">
      <alignment wrapText="1"/>
    </xf>
    <xf numFmtId="0" fontId="10" fillId="7" borderId="0" applyAlignment="1" pivotButton="0" quotePrefix="0" xfId="0">
      <alignment vertical="center" wrapText="1"/>
    </xf>
    <xf numFmtId="0" fontId="10" fillId="7" borderId="5" applyAlignment="1" pivotButton="0" quotePrefix="0" xfId="0">
      <alignment vertical="center" wrapText="1"/>
    </xf>
    <xf numFmtId="0" fontId="10" fillId="7" borderId="6" applyAlignment="1" pivotButton="0" quotePrefix="0" xfId="0">
      <alignment vertical="center" wrapText="1"/>
    </xf>
    <xf numFmtId="0" fontId="10" fillId="7" borderId="7" applyAlignment="1" pivotButton="0" quotePrefix="0" xfId="0">
      <alignment vertical="center" wrapText="1"/>
    </xf>
    <xf numFmtId="0" fontId="10" fillId="7" borderId="8" applyAlignment="1" pivotButton="0" quotePrefix="0" xfId="0">
      <alignment vertical="center" wrapText="1"/>
    </xf>
    <xf numFmtId="0" fontId="10" fillId="7" borderId="9" applyAlignment="1" pivotButton="0" quotePrefix="0" xfId="0">
      <alignment vertical="center" wrapText="1"/>
    </xf>
    <xf numFmtId="0" fontId="10" fillId="7" borderId="10" applyAlignment="1" pivotButton="0" quotePrefix="0" xfId="0">
      <alignment vertical="center" wrapText="1"/>
    </xf>
    <xf numFmtId="0" fontId="10" fillId="7" borderId="11" applyAlignment="1" pivotButton="0" quotePrefix="0" xfId="0">
      <alignment vertical="center" wrapText="1"/>
    </xf>
    <xf numFmtId="0" fontId="10" fillId="7" borderId="12" applyAlignment="1" pivotButton="0" quotePrefix="0" xfId="0">
      <alignment vertical="center" wrapText="1"/>
    </xf>
    <xf numFmtId="165" fontId="0" fillId="0" borderId="4" applyAlignment="1" pivotButton="0" quotePrefix="0" xfId="0">
      <alignment vertical="center"/>
    </xf>
    <xf numFmtId="167" fontId="0" fillId="0" borderId="4" applyAlignment="1" pivotButton="0" quotePrefix="0" xfId="0">
      <alignment vertical="center"/>
    </xf>
    <xf numFmtId="167" fontId="11" fillId="0" borderId="4" applyAlignment="1" pivotButton="0" quotePrefix="0" xfId="0">
      <alignment vertical="center"/>
    </xf>
    <xf numFmtId="170" fontId="0" fillId="0" borderId="4" applyAlignment="1" pivotButton="0" quotePrefix="0" xfId="0">
      <alignment vertical="center"/>
    </xf>
    <xf numFmtId="169" fontId="0" fillId="3" borderId="4" applyAlignment="1" pivotButton="0" quotePrefix="0" xfId="0">
      <alignment vertical="center"/>
    </xf>
    <xf numFmtId="165" fontId="0" fillId="3" borderId="4" applyAlignment="1" pivotButton="0" quotePrefix="0" xfId="0">
      <alignment vertical="center"/>
    </xf>
    <xf numFmtId="167" fontId="11" fillId="3" borderId="4" applyAlignment="1" pivotButton="0" quotePrefix="0" xfId="0">
      <alignment vertical="center"/>
    </xf>
    <xf numFmtId="170" fontId="0" fillId="3" borderId="4" applyAlignment="1" pivotButton="0" quotePrefix="0" xfId="0">
      <alignment vertical="center"/>
    </xf>
    <xf numFmtId="169" fontId="2" fillId="3" borderId="4" applyAlignment="1" pivotButton="0" quotePrefix="0" xfId="0">
      <alignment vertical="center"/>
    </xf>
    <xf numFmtId="165" fontId="2" fillId="3" borderId="4" applyAlignment="1" pivotButton="0" quotePrefix="0" xfId="0">
      <alignment vertical="center"/>
    </xf>
    <xf numFmtId="170" fontId="2" fillId="3" borderId="4" applyAlignment="1" pivotButton="0" quotePrefix="0" xfId="0">
      <alignment vertical="center"/>
    </xf>
    <xf numFmtId="164" fontId="0" fillId="0" borderId="4" applyAlignment="1" pivotButton="0" quotePrefix="0" xfId="0">
      <alignment vertical="center"/>
    </xf>
    <xf numFmtId="0" fontId="12" fillId="0" borderId="0" pivotButton="0" quotePrefix="0" xfId="0"/>
    <xf numFmtId="0" fontId="12" fillId="8" borderId="0" pivotButton="0" quotePrefix="0" xfId="0"/>
    <xf numFmtId="165" fontId="8" fillId="6" borderId="4" applyAlignment="1" pivotButton="0" quotePrefix="0" xfId="0">
      <alignment vertical="center"/>
    </xf>
    <xf numFmtId="170" fontId="8" fillId="6" borderId="4" applyAlignment="1" pivotButton="0" quotePrefix="0" xfId="0">
      <alignment vertical="center"/>
    </xf>
    <xf numFmtId="166" fontId="8" fillId="6" borderId="4" applyAlignment="1" pivotButton="0" quotePrefix="0" xfId="0">
      <alignment vertical="center"/>
    </xf>
    <xf numFmtId="165" fontId="0" fillId="6" borderId="4" applyAlignment="1" pivotButton="0" quotePrefix="0" xfId="0">
      <alignment vertical="center"/>
    </xf>
    <xf numFmtId="167" fontId="0" fillId="6" borderId="4" applyAlignment="1" pivotButton="0" quotePrefix="0" xfId="0">
      <alignment vertical="center"/>
    </xf>
    <xf numFmtId="0" fontId="0" fillId="6" borderId="0" pivotButton="0" quotePrefix="0" xfId="0"/>
    <xf numFmtId="0" fontId="13" fillId="6" borderId="0" pivotButton="0" quotePrefix="0" xfId="0"/>
    <xf numFmtId="0" fontId="13" fillId="6" borderId="0" applyAlignment="1" pivotButton="0" quotePrefix="0" xfId="0">
      <alignment wrapText="1"/>
    </xf>
    <xf numFmtId="0" fontId="13" fillId="6" borderId="0" applyAlignment="1" pivotButton="0" quotePrefix="0" xfId="0">
      <alignment vertical="center" wrapText="1"/>
    </xf>
    <xf numFmtId="0" fontId="13" fillId="6" borderId="5" applyAlignment="1" pivotButton="0" quotePrefix="0" xfId="0">
      <alignment vertical="center" wrapText="1"/>
    </xf>
    <xf numFmtId="0" fontId="13" fillId="6" borderId="6" applyAlignment="1" pivotButton="0" quotePrefix="0" xfId="0">
      <alignment vertical="center" wrapText="1"/>
    </xf>
    <xf numFmtId="0" fontId="13" fillId="6" borderId="7" applyAlignment="1" pivotButton="0" quotePrefix="0" xfId="0">
      <alignment vertical="center" wrapText="1"/>
    </xf>
    <xf numFmtId="0" fontId="13" fillId="6" borderId="8" applyAlignment="1" pivotButton="0" quotePrefix="0" xfId="0">
      <alignment vertical="center" wrapText="1"/>
    </xf>
    <xf numFmtId="0" fontId="13" fillId="6" borderId="9" applyAlignment="1" pivotButton="0" quotePrefix="0" xfId="0">
      <alignment vertical="center" wrapText="1"/>
    </xf>
    <xf numFmtId="0" fontId="13" fillId="6" borderId="10" applyAlignment="1" pivotButton="0" quotePrefix="0" xfId="0">
      <alignment vertical="center" wrapText="1"/>
    </xf>
    <xf numFmtId="0" fontId="13" fillId="6" borderId="11" applyAlignment="1" pivotButton="0" quotePrefix="0" xfId="0">
      <alignment vertical="center" wrapText="1"/>
    </xf>
    <xf numFmtId="0" fontId="13" fillId="6" borderId="12" applyAlignment="1" pivotButton="0" quotePrefix="0" xfId="0">
      <alignment vertical="center" wrapText="1"/>
    </xf>
    <xf numFmtId="0" fontId="14" fillId="6" borderId="5" applyAlignment="1" pivotButton="0" quotePrefix="0" xfId="0">
      <alignment vertical="center" wrapText="1"/>
    </xf>
    <xf numFmtId="0" fontId="14" fillId="6" borderId="6" applyAlignment="1" pivotButton="0" quotePrefix="0" xfId="0">
      <alignment vertical="center" wrapText="1"/>
    </xf>
    <xf numFmtId="0" fontId="14" fillId="6" borderId="7" applyAlignment="1" pivotButton="0" quotePrefix="0" xfId="0">
      <alignment vertical="center" wrapText="1"/>
    </xf>
    <xf numFmtId="0" fontId="14" fillId="6" borderId="8" applyAlignment="1" pivotButton="0" quotePrefix="0" xfId="0">
      <alignment vertical="center" wrapText="1"/>
    </xf>
    <xf numFmtId="0" fontId="14" fillId="6" borderId="0" applyAlignment="1" pivotButton="0" quotePrefix="0" xfId="0">
      <alignment vertical="center" wrapText="1"/>
    </xf>
    <xf numFmtId="0" fontId="14" fillId="6" borderId="9" applyAlignment="1" pivotButton="0" quotePrefix="0" xfId="0">
      <alignment vertical="center" wrapText="1"/>
    </xf>
    <xf numFmtId="0" fontId="14" fillId="6" borderId="10" applyAlignment="1" pivotButton="0" quotePrefix="0" xfId="0">
      <alignment vertical="center" wrapText="1"/>
    </xf>
    <xf numFmtId="0" fontId="14" fillId="6" borderId="11" applyAlignment="1" pivotButton="0" quotePrefix="0" xfId="0">
      <alignment vertical="center" wrapText="1"/>
    </xf>
    <xf numFmtId="0" fontId="14" fillId="6" borderId="12" applyAlignment="1" pivotButton="0" quotePrefix="0" xfId="0">
      <alignment vertical="center" wrapText="1"/>
    </xf>
    <xf numFmtId="0" fontId="15" fillId="7" borderId="5" applyAlignment="1" pivotButton="0" quotePrefix="0" xfId="0">
      <alignment vertical="center" wrapText="1"/>
    </xf>
    <xf numFmtId="0" fontId="15" fillId="7" borderId="6" applyAlignment="1" pivotButton="0" quotePrefix="0" xfId="0">
      <alignment vertical="center" wrapText="1"/>
    </xf>
    <xf numFmtId="0" fontId="15" fillId="7" borderId="7" applyAlignment="1" pivotButton="0" quotePrefix="0" xfId="0">
      <alignment vertical="center" wrapText="1"/>
    </xf>
    <xf numFmtId="0" fontId="15" fillId="7" borderId="8" applyAlignment="1" pivotButton="0" quotePrefix="0" xfId="0">
      <alignment vertical="center" wrapText="1"/>
    </xf>
    <xf numFmtId="0" fontId="15" fillId="7" borderId="0" applyAlignment="1" pivotButton="0" quotePrefix="0" xfId="0">
      <alignment vertical="center" wrapText="1"/>
    </xf>
    <xf numFmtId="0" fontId="15" fillId="7" borderId="9" applyAlignment="1" pivotButton="0" quotePrefix="0" xfId="0">
      <alignment vertical="center" wrapText="1"/>
    </xf>
    <xf numFmtId="0" fontId="15" fillId="7" borderId="10" applyAlignment="1" pivotButton="0" quotePrefix="0" xfId="0">
      <alignment vertical="center" wrapText="1"/>
    </xf>
    <xf numFmtId="0" fontId="15" fillId="7" borderId="11" applyAlignment="1" pivotButton="0" quotePrefix="0" xfId="0">
      <alignment vertical="center" wrapText="1"/>
    </xf>
    <xf numFmtId="0" fontId="15" fillId="7" borderId="12" applyAlignment="1" pivotButton="0" quotePrefix="0" xfId="0">
      <alignment vertical="center" wrapText="1"/>
    </xf>
    <xf numFmtId="166" fontId="0" fillId="0" borderId="4" applyAlignment="1" pivotButton="0" quotePrefix="0" xfId="0">
      <alignment vertical="center"/>
    </xf>
    <xf numFmtId="166" fontId="0" fillId="3" borderId="4" applyAlignment="1" pivotButton="0" quotePrefix="0" xfId="0">
      <alignment vertical="center"/>
    </xf>
    <xf numFmtId="0" fontId="16" fillId="0" borderId="0" pivotButton="0" quotePrefix="0" xfId="0"/>
    <xf numFmtId="171" fontId="16" fillId="0" borderId="0" pivotButton="0" quotePrefix="0" xfId="0"/>
    <xf numFmtId="165" fontId="2" fillId="3" borderId="4" applyAlignment="1" pivotButton="0" quotePrefix="0" xfId="0">
      <alignment vertical="center" wrapText="1"/>
    </xf>
    <xf numFmtId="0" fontId="17" fillId="6" borderId="4" applyAlignment="1" pivotButton="0" quotePrefix="0" xfId="0">
      <alignment vertical="center"/>
    </xf>
    <xf numFmtId="0" fontId="3" fillId="4" borderId="4" applyAlignment="1" pivotButton="0" quotePrefix="0" xfId="0">
      <alignment vertical="center"/>
    </xf>
    <xf numFmtId="0" fontId="0" fillId="0" borderId="2" pivotButton="0" quotePrefix="0" xfId="0"/>
    <xf numFmtId="0" fontId="0" fillId="0" borderId="3" pivotButton="0" quotePrefix="0" xfId="0"/>
    <xf numFmtId="164" fontId="5" fillId="5" borderId="4" applyAlignment="1" pivotButton="0" quotePrefix="0" xfId="0">
      <alignment vertical="center"/>
    </xf>
    <xf numFmtId="165" fontId="5" fillId="5" borderId="4" applyAlignment="1" pivotButton="0" quotePrefix="0" xfId="0">
      <alignment vertical="center"/>
    </xf>
    <xf numFmtId="165" fontId="5" fillId="0" borderId="4" applyAlignment="1" pivotButton="0" quotePrefix="0" xfId="0">
      <alignment vertical="center"/>
    </xf>
    <xf numFmtId="164" fontId="8" fillId="6" borderId="4" applyAlignment="1" pivotButton="0" quotePrefix="0" xfId="0">
      <alignment vertical="center"/>
    </xf>
    <xf numFmtId="166" fontId="8" fillId="6" borderId="4" applyAlignment="1" pivotButton="0" quotePrefix="0" xfId="0">
      <alignment vertical="center"/>
    </xf>
    <xf numFmtId="165" fontId="8" fillId="6" borderId="4" applyAlignment="1" pivotButton="0" quotePrefix="0" xfId="0">
      <alignment vertical="center"/>
    </xf>
    <xf numFmtId="167" fontId="11" fillId="0" borderId="4" applyAlignment="1" pivotButton="0" quotePrefix="0" xfId="0">
      <alignment vertical="center"/>
    </xf>
    <xf numFmtId="167" fontId="8" fillId="6" borderId="4" applyAlignment="1" pivotButton="0" quotePrefix="0" xfId="0">
      <alignment vertical="center"/>
    </xf>
    <xf numFmtId="170" fontId="8" fillId="6" borderId="4" applyAlignment="1" pivotButton="0" quotePrefix="0" xfId="0">
      <alignment vertical="center"/>
    </xf>
    <xf numFmtId="165" fontId="0" fillId="0" borderId="4" applyAlignment="1" pivotButton="0" quotePrefix="0" xfId="0">
      <alignment vertical="center"/>
    </xf>
    <xf numFmtId="167" fontId="0" fillId="0" borderId="4" applyAlignment="1" pivotButton="0" quotePrefix="0" xfId="0">
      <alignment vertical="center"/>
    </xf>
    <xf numFmtId="164" fontId="0" fillId="0" borderId="4" applyAlignment="1" pivotButton="0" quotePrefix="0" xfId="0">
      <alignment vertical="center"/>
    </xf>
    <xf numFmtId="0" fontId="6" fillId="3" borderId="4" applyAlignment="1" pivotButton="0" quotePrefix="0" xfId="0">
      <alignment vertical="center" wrapText="1"/>
    </xf>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165" fontId="2" fillId="3" borderId="4" applyAlignment="1" pivotButton="0" quotePrefix="0" xfId="0">
      <alignment vertical="center"/>
    </xf>
    <xf numFmtId="167" fontId="2" fillId="3" borderId="4" applyAlignment="1" pivotButton="0" quotePrefix="0" xfId="0">
      <alignment vertical="center"/>
    </xf>
    <xf numFmtId="170" fontId="2" fillId="3" borderId="4" applyAlignment="1" pivotButton="0" quotePrefix="0" xfId="0">
      <alignment vertical="center"/>
    </xf>
    <xf numFmtId="170" fontId="0" fillId="0" borderId="4" applyAlignment="1" pivotButton="0" quotePrefix="0" xfId="0">
      <alignment vertical="center"/>
    </xf>
    <xf numFmtId="0" fontId="14" fillId="6" borderId="4" applyAlignment="1" pivotButton="0" quotePrefix="0" xfId="0">
      <alignment vertical="center" wrapText="1"/>
    </xf>
    <xf numFmtId="0" fontId="15" fillId="7" borderId="4" applyAlignment="1" pivotButton="0" quotePrefix="0" xfId="0">
      <alignment vertical="center" wrapText="1"/>
    </xf>
    <xf numFmtId="171" fontId="16" fillId="0" borderId="0" pivotButton="0" quotePrefix="0" xfId="0"/>
    <xf numFmtId="166" fontId="0" fillId="3" borderId="4" applyAlignment="1" pivotButton="0" quotePrefix="0" xfId="0">
      <alignment vertical="center"/>
    </xf>
    <xf numFmtId="165" fontId="0" fillId="3" borderId="4" applyAlignment="1" pivotButton="0" quotePrefix="0" xfId="0">
      <alignment vertical="center"/>
    </xf>
    <xf numFmtId="166" fontId="0" fillId="0" borderId="4" applyAlignment="1" pivotButton="0" quotePrefix="0" xfId="0">
      <alignment vertical="center"/>
    </xf>
    <xf numFmtId="0" fontId="10" fillId="7" borderId="4" applyAlignment="1" pivotButton="0" quotePrefix="0" xfId="0">
      <alignment vertical="center" wrapText="1"/>
    </xf>
    <xf numFmtId="166" fontId="2" fillId="3" borderId="4" applyAlignment="1" pivotButton="0" quotePrefix="0" xfId="0">
      <alignment vertical="center"/>
    </xf>
    <xf numFmtId="164" fontId="8" fillId="3" borderId="4" applyAlignment="1" pivotButton="0" quotePrefix="0" xfId="0">
      <alignment vertical="center"/>
    </xf>
    <xf numFmtId="168" fontId="2" fillId="3" borderId="4" applyAlignment="1" pivotButton="0" quotePrefix="0" xfId="0">
      <alignment vertical="center"/>
    </xf>
    <xf numFmtId="169" fontId="0" fillId="0" borderId="4" applyAlignment="1" pivotButton="0" quotePrefix="0" xfId="0">
      <alignment vertical="center"/>
    </xf>
    <xf numFmtId="169" fontId="2" fillId="3" borderId="4" applyAlignment="1" pivotButton="0" quotePrefix="0" xfId="0">
      <alignment vertical="center"/>
    </xf>
    <xf numFmtId="165" fontId="2" fillId="3" borderId="4" applyAlignment="1" pivotButton="0" quotePrefix="0" xfId="0">
      <alignment vertical="center" wrapText="1"/>
    </xf>
    <xf numFmtId="0" fontId="8" fillId="0" borderId="0" pivotButton="0" quotePrefix="0" xfId="0"/>
  </cellXfs>
  <cellStyles count="1">
    <cellStyle name="Normal" xfId="0"/>
  </cellStyles>
  <dxfs count="13">
    <dxf>
      <font>
        <b val="1"/>
        <color rgb="FF375623"/>
      </font>
      <fill>
        <patternFill patternType="solid">
          <bgColor rgb="FFE2F0D9"/>
        </patternFill>
      </fill>
    </dxf>
    <dxf>
      <font>
        <b val="1"/>
        <color rgb="FFC00000"/>
      </font>
      <fill>
        <patternFill patternType="solid">
          <bgColor rgb="FFF4CCCC"/>
        </patternFill>
      </fill>
    </dxf>
    <dxf>
      <font>
        <b val="1"/>
        <color rgb="FF666666"/>
      </font>
      <fill>
        <patternFill patternType="solid">
          <bgColor rgb="FFE7E6E6"/>
        </patternFill>
      </fill>
    </dxf>
    <dxf>
      <font>
        <b val="1"/>
        <color rgb="FF375623"/>
      </font>
      <fill>
        <patternFill patternType="solid">
          <bgColor rgb="FFE2F0D9"/>
        </patternFill>
      </fill>
    </dxf>
    <dxf>
      <font>
        <b val="1"/>
        <color rgb="FFC00000"/>
      </font>
      <fill>
        <patternFill patternType="solid">
          <bgColor rgb="FFF4CCCC"/>
        </patternFill>
      </fill>
    </dxf>
    <dxf>
      <font>
        <b val="1"/>
        <color rgb="FF666666"/>
      </font>
      <fill>
        <patternFill patternType="solid">
          <bgColor rgb="FFE7E6E6"/>
        </patternFill>
      </fill>
    </dxf>
    <dxf>
      <font>
        <b val="1"/>
        <color rgb="FF375623"/>
      </font>
      <fill>
        <patternFill patternType="solid">
          <bgColor rgb="FFE2F0D9"/>
        </patternFill>
      </fill>
    </dxf>
    <dxf>
      <font>
        <b val="1"/>
        <color rgb="FFC00000"/>
      </font>
      <fill>
        <patternFill patternType="solid">
          <bgColor rgb="FFF4CCCC"/>
        </patternFill>
      </fill>
    </dxf>
    <dxf>
      <font>
        <b val="1"/>
        <color rgb="FF666666"/>
      </font>
      <fill>
        <patternFill patternType="solid">
          <bgColor rgb="FFE7E6E6"/>
        </patternFill>
      </fill>
    </dxf>
    <dxf>
      <font>
        <b val="1"/>
        <color rgb="FF375623"/>
      </font>
      <fill>
        <patternFill patternType="solid">
          <bgColor rgb="FFE2F0D9"/>
        </patternFill>
      </fill>
    </dxf>
    <dxf>
      <font>
        <b val="1"/>
        <color rgb="FFC00000"/>
      </font>
      <fill>
        <patternFill patternType="solid">
          <bgColor rgb="FFF4CCCC"/>
        </patternFill>
      </fill>
    </dxf>
    <dxf>
      <font>
        <b val="1"/>
        <color rgb="FF666666"/>
      </font>
      <fill>
        <patternFill patternType="solid">
          <bgColor rgb="FFE7E6E6"/>
        </patternFill>
      </fill>
    </dxf>
    <dxf>
      <font>
        <b val="1"/>
        <color rgb="FFC00000"/>
      </font>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00"/>
              <a:t>Kostenblöcke über 3 Jahre (€)</a:t>
            </a:r>
          </a:p>
        </rich>
      </tx>
      <txPr>
        <a:bodyPr xmlns:a="http://schemas.openxmlformats.org/drawingml/2006/main" anchorCtr="1"/>
        <a:lstStyle xmlns:a="http://schemas.openxmlformats.org/drawingml/2006/main"/>
        <a:p xmlns:a="http://schemas.openxmlformats.org/drawingml/2006/main">
          <a:pPr>
            <a:defRPr sz="900"/>
          </a:pPr>
          <a:r>
            <a:t>None</a:t>
          </a:r>
        </a:p>
      </txPr>
    </title>
    <plotArea>
      <barChart>
        <barDir val="col"/>
        <grouping val="clustered"/>
        <varyColors val="0"/>
        <ser>
          <idx val="0"/>
          <order val="0"/>
          <tx>
            <v>Gesamt</v>
          </tx>
          <spPr>
            <a:ln xmlns:a="http://schemas.openxmlformats.org/drawingml/2006/main">
              <a:prstDash val="solid"/>
            </a:ln>
          </spPr>
          <cat>
            <strRef>
              <f>'2. Executive Summary'!$A$24:$A$27</f>
              <strCache>
                <ptCount val="0"/>
              </strCache>
            </strRef>
          </cat>
          <val>
            <numRef>
              <f>'2. Executive Summary'!$B$24:$B$27</f>
              <numCache>
                <formatCode>#,##0" €";[Red](#,##0" €");-</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p>
        </txPr>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0&quot; €&quot;"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00"/>
              <a:t>Entwicklung von Nutzen, Kosten und Netto-Nutzen über 36 Monate (€)</a:t>
            </a:r>
          </a:p>
        </rich>
      </tx>
      <txPr>
        <a:bodyPr xmlns:a="http://schemas.openxmlformats.org/drawingml/2006/main" anchorCtr="1"/>
        <a:lstStyle xmlns:a="http://schemas.openxmlformats.org/drawingml/2006/main"/>
        <a:p xmlns:a="http://schemas.openxmlformats.org/drawingml/2006/main">
          <a:pPr>
            <a:defRPr sz="900"/>
          </a:pPr>
          <a:r>
            <a:t>None</a:t>
          </a:r>
        </a:p>
      </txPr>
    </title>
    <plotArea>
      <lineChart>
        <grouping val="standard"/>
        <ser>
          <idx val="0"/>
          <order val="0"/>
          <tx>
            <v>Kumulierter realisierter Nutzen</v>
          </tx>
          <spPr>
            <a:ln xmlns:a="http://schemas.openxmlformats.org/drawingml/2006/main">
              <a:prstDash val="solid"/>
            </a:ln>
          </spPr>
          <marker>
            <symbol val="none"/>
            <spPr>
              <a:ln xmlns:a="http://schemas.openxmlformats.org/drawingml/2006/main">
                <a:prstDash val="solid"/>
              </a:ln>
            </spPr>
          </marker>
          <cat>
            <strRef>
              <f>'3. 3-Jahres-Verlauf'!$J$2:$J$37</f>
              <strCache>
                <ptCount val="0"/>
              </strCache>
            </strRef>
          </cat>
          <val>
            <numRef>
              <f>'3. 3-Jahres-Verlauf'!$K$2:$K$37</f>
              <numCache>
                <formatCode>#,##0" €"</formatCode>
                <ptCount val="0"/>
              </numCache>
            </numRef>
          </val>
        </ser>
        <ser>
          <idx val="1"/>
          <order val="1"/>
          <tx>
            <v>Kumulierte Kosten</v>
          </tx>
          <spPr>
            <a:ln xmlns:a="http://schemas.openxmlformats.org/drawingml/2006/main">
              <a:prstDash val="solid"/>
            </a:ln>
          </spPr>
          <marker>
            <symbol val="none"/>
            <spPr>
              <a:ln xmlns:a="http://schemas.openxmlformats.org/drawingml/2006/main">
                <a:prstDash val="solid"/>
              </a:ln>
            </spPr>
          </marker>
          <cat>
            <strRef>
              <f>'3. 3-Jahres-Verlauf'!$J$2:$J$37</f>
              <strCache>
                <ptCount val="0"/>
              </strCache>
            </strRef>
          </cat>
          <val>
            <numRef>
              <f>'3. 3-Jahres-Verlauf'!$L$2:$L$37</f>
              <numCache>
                <formatCode>#,##0" €"</formatCode>
                <ptCount val="0"/>
              </numCache>
            </numRef>
          </val>
        </ser>
        <ser>
          <idx val="2"/>
          <order val="2"/>
          <tx>
            <v>Kumulierter Netto-Nutzen</v>
          </tx>
          <spPr>
            <a:ln xmlns:a="http://schemas.openxmlformats.org/drawingml/2006/main">
              <a:prstDash val="solid"/>
            </a:ln>
          </spPr>
          <marker>
            <symbol val="none"/>
            <spPr>
              <a:ln xmlns:a="http://schemas.openxmlformats.org/drawingml/2006/main">
                <a:prstDash val="solid"/>
              </a:ln>
            </spPr>
          </marker>
          <cat>
            <strRef>
              <f>'3. 3-Jahres-Verlauf'!$J$2:$J$37</f>
              <strCache>
                <ptCount val="0"/>
              </strCache>
            </strRef>
          </cat>
          <val>
            <numRef>
              <f>'3. 3-Jahres-Verlauf'!$M$2:$M$37</f>
              <numCache>
                <formatCode>#,##0" €"</formatCode>
                <ptCount val="0"/>
              </numCache>
            </numRef>
          </val>
        </ser>
        <axId val="48650112"/>
        <axId val="48672768"/>
      </line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600"/>
            </a:pPr>
            <a:r>
              <a:t>None</a:t>
            </a:r>
          </a:p>
        </txPr>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0&quot; €&quot;"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900"/>
              <a:t>Realisierter Nutzen übersteigt die jährlichen Kosten (€)</a:t>
            </a:r>
          </a:p>
        </rich>
      </tx>
      <txPr>
        <a:bodyPr xmlns:a="http://schemas.openxmlformats.org/drawingml/2006/main" anchorCtr="1"/>
        <a:lstStyle xmlns:a="http://schemas.openxmlformats.org/drawingml/2006/main"/>
        <a:p xmlns:a="http://schemas.openxmlformats.org/drawingml/2006/main">
          <a:pPr>
            <a:defRPr sz="900"/>
          </a:pPr>
          <a:r>
            <a:t>None</a:t>
          </a:r>
        </a:p>
      </txPr>
    </title>
    <plotArea>
      <barChart>
        <barDir val="col"/>
        <grouping val="clustered"/>
        <varyColors val="0"/>
        <ser>
          <idx val="0"/>
          <order val="0"/>
          <tx>
            <v>Realisierter Nutzen</v>
          </tx>
          <spPr>
            <a:ln xmlns:a="http://schemas.openxmlformats.org/drawingml/2006/main">
              <a:prstDash val="solid"/>
            </a:ln>
          </spPr>
          <cat>
            <strRef>
              <f>'3. 3-Jahres-Verlauf'!$O$2:$O$4</f>
              <strCache>
                <ptCount val="0"/>
              </strCache>
            </strRef>
          </cat>
          <val>
            <numRef>
              <f>'3. 3-Jahres-Verlauf'!$P$2:$P$4</f>
              <numCache>
                <formatCode>#,##0" €"</formatCode>
                <ptCount val="0"/>
              </numCache>
            </numRef>
          </val>
        </ser>
        <ser>
          <idx val="1"/>
          <order val="1"/>
          <tx>
            <v>Gesamtkosten</v>
          </tx>
          <spPr>
            <a:ln xmlns:a="http://schemas.openxmlformats.org/drawingml/2006/main">
              <a:prstDash val="solid"/>
            </a:ln>
          </spPr>
          <cat>
            <strRef>
              <f>'3. 3-Jahres-Verlauf'!$O$2:$O$4</f>
              <strCache>
                <ptCount val="0"/>
              </strCache>
            </strRef>
          </cat>
          <val>
            <numRef>
              <f>'3. 3-Jahres-Verlauf'!$Q$2:$Q$4</f>
              <numCache>
                <formatCode>#,##0" €"</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p>
        </txPr>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0&quot; €&quot;"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drawing1.xml><?xml version="1.0" encoding="utf-8"?>
<wsDr xmlns="http://schemas.openxmlformats.org/drawingml/2006/spreadsheetDrawing">
  <twoCellAnchor>
    <from>
      <col>5</col>
      <colOff>0</colOff>
      <row>32</row>
      <rowOff>0</rowOff>
    </from>
    <to>
      <col>12</col>
      <colOff>0</colOff>
      <row>46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0</col>
      <colOff>0</colOff>
      <row>11</row>
      <rowOff>0</rowOff>
    </from>
    <to>
      <col>8</col>
      <colOff>0</colOff>
      <row>29</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31</row>
      <rowOff>0</rowOff>
    </from>
    <to>
      <col>8</col>
      <colOff>0</colOff>
      <row>48</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5"/>
  <cols>
    <col width="39" customWidth="1" min="1" max="1"/>
    <col width="22" customWidth="1" min="2" max="2"/>
    <col width="21" customWidth="1" min="3" max="3"/>
    <col width="59" customWidth="1" min="4" max="4"/>
  </cols>
  <sheetData>
    <row r="1" ht="32" customHeight="1">
      <c r="A1" s="3" t="inlineStr">
        <is>
          <t>COPILOT BUSINESS CASE – EINGABEN</t>
        </is>
      </c>
    </row>
    <row r="3" ht="34" customHeight="1">
      <c r="A3" s="6" t="inlineStr">
        <is>
          <t>Bitte füllen Sie ausschließlich die fünf gelben Felder aus. Alle Berechnungen und Annahmen finden Sie auf den folgenden, geschützten Blättern.</t>
        </is>
      </c>
    </row>
    <row r="5" ht="22" customHeight="1">
      <c r="A5" s="123" t="inlineStr">
        <is>
          <t>IHRE FÜNF ANGABEN</t>
        </is>
      </c>
      <c r="B5" s="124" t="n"/>
      <c r="C5" s="124" t="n"/>
      <c r="D5" s="125" t="n"/>
    </row>
    <row r="6">
      <c r="A6" s="18" t="inlineStr">
        <is>
          <t>Was ist einzutragen?</t>
        </is>
      </c>
      <c r="B6" s="18" t="inlineStr">
        <is>
          <t>Ihre Angabe</t>
        </is>
      </c>
      <c r="C6" s="18" t="inlineStr">
        <is>
          <t>Einheit</t>
        </is>
      </c>
      <c r="D6" s="18" t="inlineStr">
        <is>
          <t>Wofür wird die Angabe benötigt?</t>
        </is>
      </c>
    </row>
    <row r="7">
      <c r="A7" s="20" t="inlineStr">
        <is>
          <t>Unternehmensname</t>
        </is>
      </c>
      <c r="B7" s="22" t="inlineStr">
        <is>
          <t>Beispielunternehmen</t>
        </is>
      </c>
      <c r="C7" s="20" t="str"/>
      <c r="D7" s="20" t="inlineStr">
        <is>
          <t>Erscheint in der Executive Summary</t>
        </is>
      </c>
    </row>
    <row r="8">
      <c r="A8" s="20" t="inlineStr">
        <is>
          <t>Geplante Copilot-Lizenzen (Pro-Nutzer)</t>
        </is>
      </c>
      <c r="B8" s="126" t="n">
        <v>300</v>
      </c>
      <c r="C8" s="20" t="inlineStr">
        <is>
          <t>Personen</t>
        </is>
      </c>
      <c r="D8" s="20" t="inlineStr">
        <is>
          <t>Anzahl der Personen, die eine Lizenz UND die vollständige Lernreise (Kick-off + 4 Termine) erhalten</t>
        </is>
      </c>
    </row>
    <row r="9">
      <c r="A9" s="20" t="inlineStr">
        <is>
          <t>Vollkosten-Stundensatz</t>
        </is>
      </c>
      <c r="B9" s="127" t="n">
        <v>50</v>
      </c>
      <c r="C9" s="20" t="inlineStr">
        <is>
          <t>€/Stunde</t>
        </is>
      </c>
      <c r="D9" s="20" t="inlineStr">
        <is>
          <t>Personalkosten inkl. Lohnnebenkosten und Gemeinkosten</t>
        </is>
      </c>
    </row>
    <row r="10">
      <c r="A10" s="20" t="inlineStr">
        <is>
          <t>Copilot-Lizenzpreis</t>
        </is>
      </c>
      <c r="B10" s="127" t="n">
        <v>26</v>
      </c>
      <c r="C10" s="20" t="inlineStr">
        <is>
          <t>€/Nutzer/Monat</t>
        </is>
      </c>
      <c r="D10" s="20" t="inlineStr">
        <is>
          <t>Aktuellen Vertragspreis eintragen</t>
        </is>
      </c>
    </row>
    <row r="11">
      <c r="A11" s="20" t="inlineStr">
        <is>
          <t>Microsoft 365 Nutzer insgesamt</t>
        </is>
      </c>
      <c r="B11" s="126" t="n">
        <v>400</v>
      </c>
      <c r="C11" s="20" t="inlineStr">
        <is>
          <t>Personen</t>
        </is>
      </c>
      <c r="D11" s="20" t="inlineStr">
        <is>
          <t>Alle Beschäftigten mit Microsoft 365 (inkl. Nutzer ohne Copilot-Lizenz). Muss ≥ Zeile 8 sein.</t>
        </is>
      </c>
    </row>
    <row r="12">
      <c r="A12" s="20" t="inlineStr">
        <is>
          <t>davon ohne Lizenz (nur Copilot Chat)</t>
        </is>
      </c>
      <c r="B12" s="128">
        <f>MAX(B11-B8,0)</f>
        <v/>
      </c>
      <c r="C12" s="20" t="inlineStr">
        <is>
          <t>Personen</t>
        </is>
      </c>
      <c r="D12" s="20" t="inlineStr">
        <is>
          <t>Automatisch berechnet: Gesamt-Nutzer minus Lizenzen. Erhalten nur einen einmaligen Kick-off-Workshop (keine Lernreise, kein Folgejahr).</t>
        </is>
      </c>
    </row>
    <row r="13">
      <c r="A13" s="123" t="inlineStr">
        <is>
          <t>Danach ist nichts weiter auszufüllen. Wechseln Sie zu „2. Executive Summary“, um den Business Case zu sehen. Die Kalkulation verwendet automatisch das hinterlegte Trainingsmodell, die skalierende IT-Staffel und die beiden dokumentierten Nutzenszenarien.</t>
        </is>
      </c>
      <c r="B13" s="139" t="n"/>
      <c r="C13" s="139" t="n"/>
      <c r="D13" s="140" t="n"/>
    </row>
    <row r="14">
      <c r="A14" s="141" t="n"/>
      <c r="D14" s="142" t="n"/>
    </row>
    <row r="15">
      <c r="A15" s="143" t="n"/>
      <c r="B15" s="144" t="n"/>
      <c r="C15" s="144" t="n"/>
      <c r="D15" s="145" t="n"/>
    </row>
  </sheetData>
  <mergeCells count="4">
    <mergeCell ref="A1:D1"/>
    <mergeCell ref="A13:D15"/>
    <mergeCell ref="A3:D3"/>
    <mergeCell ref="A5:D5"/>
  </mergeCells>
  <dataValidations count="2">
    <dataValidation sqref="B8" showDropDown="0" showInputMessage="0" showErrorMessage="0" allowBlank="0" type="whole" operator="between">
      <formula1>1</formula1>
      <formula2>100000</formula2>
    </dataValidation>
    <dataValidation sqref="B9:B10" showDropDown="0" showInputMessage="0" showErrorMessage="0" allowBlank="0" type="decimal" operator="greaterThanOrEqual">
      <formula1>0</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46"/>
  <sheetViews>
    <sheetView showGridLines="0" workbookViewId="0">
      <selection activeCell="A1" sqref="A1"/>
    </sheetView>
  </sheetViews>
  <sheetFormatPr baseColWidth="8" defaultRowHeight="15"/>
  <cols>
    <col width="34" customWidth="1" min="1" max="1"/>
    <col width="25" customWidth="1" min="2" max="2"/>
    <col width="18" customWidth="1" min="3" max="3"/>
    <col width="29" customWidth="1" min="4" max="4"/>
    <col width="20" customWidth="1" min="5" max="5"/>
    <col width="17" customWidth="1" min="6" max="6"/>
    <col width="17" customWidth="1" min="7" max="7"/>
    <col width="17" customWidth="1" min="8" max="8"/>
  </cols>
  <sheetData>
    <row r="1" ht="32" customHeight="1">
      <c r="A1" s="3" t="inlineStr">
        <is>
          <t>COPILOT BUSINESS CASE – 3-JAHRES-BETRACHTUNG</t>
        </is>
      </c>
    </row>
    <row r="3">
      <c r="A3" s="37">
        <f>"Planungsrechnung für "&amp;'1. Eingaben'!B7&amp;" | Realistisches Szenario | 36 Monate | Stand 27.07.2026"</f>
        <v/>
      </c>
    </row>
    <row r="5" ht="22" customHeight="1">
      <c r="A5" s="123" t="inlineStr">
        <is>
          <t>REALISTISCHES SZENARIO – ENTSCHEIDUNGSRELEVANTE KENNZAHLEN</t>
        </is>
      </c>
      <c r="B5" s="124" t="n"/>
      <c r="C5" s="124" t="n"/>
      <c r="D5" s="124" t="n"/>
      <c r="E5" s="125" t="n"/>
    </row>
    <row r="6">
      <c r="A6" s="20" t="inlineStr">
        <is>
          <t>Geplante Copilot-Lizenzen</t>
        </is>
      </c>
      <c r="B6" s="129">
        <f>'1. Eingaben'!B8</f>
        <v/>
      </c>
      <c r="D6" s="20" t="inlineStr">
        <is>
          <t>Ziel-Zeitersparnis pro Monat</t>
        </is>
      </c>
      <c r="E6" s="130">
        <f>'5. Berechnung'!B4</f>
        <v/>
      </c>
    </row>
    <row r="7">
      <c r="A7" s="20" t="inlineStr">
        <is>
          <t>Gesamtkosten Jahr 1</t>
        </is>
      </c>
      <c r="B7" s="131">
        <f>'5. Berechnung'!G19</f>
        <v/>
      </c>
      <c r="D7" s="20" t="inlineStr">
        <is>
          <t>Ø Brutto-Zeitersparnis Jahr 1</t>
        </is>
      </c>
      <c r="E7" s="130">
        <f>'5. Berechnung'!B5</f>
        <v/>
      </c>
    </row>
    <row r="8">
      <c r="A8" s="20" t="inlineStr">
        <is>
          <t>Realisierter Nutzen Jahr 1</t>
        </is>
      </c>
      <c r="B8" s="131">
        <f>'5. Berechnung'!B19</f>
        <v/>
      </c>
      <c r="D8" s="20" t="inlineStr">
        <is>
          <t>Kapazitätswert pro Nutzer Jahr 1</t>
        </is>
      </c>
      <c r="E8" s="131">
        <f>'5. Berechnung'!B5*12*'1. Eingaben'!B9</f>
        <v/>
      </c>
    </row>
    <row r="9">
      <c r="A9" s="20" t="inlineStr">
        <is>
          <t>ROI Jahr 1</t>
        </is>
      </c>
      <c r="B9" s="132">
        <f>IF(B7=0,0,(B8-B7)/B7)</f>
        <v/>
      </c>
      <c r="D9" s="20" t="inlineStr">
        <is>
          <t>Realisierter Nutzen pro Nutzer Jahr 1</t>
        </is>
      </c>
      <c r="E9" s="131">
        <f>'5. Berechnung'!B19/'1. Eingaben'!B11</f>
        <v/>
      </c>
    </row>
    <row r="10">
      <c r="A10" s="20" t="inlineStr">
        <is>
          <t>Gesamtkosten 3 Jahre</t>
        </is>
      </c>
      <c r="B10" s="131">
        <f>'5. Berechnung'!B9</f>
        <v/>
      </c>
      <c r="D10" s="20" t="inlineStr">
        <is>
          <t>Gesamtkosten pro Nutzer Jahr 1</t>
        </is>
      </c>
      <c r="E10" s="131">
        <f>'5. Berechnung'!G19/'1. Eingaben'!B11</f>
        <v/>
      </c>
    </row>
    <row r="11">
      <c r="A11" s="20" t="inlineStr">
        <is>
          <t>Realisierter Nutzen 3 Jahre</t>
        </is>
      </c>
      <c r="B11" s="131">
        <f>'5. Berechnung'!B8</f>
        <v/>
      </c>
      <c r="D11" s="20" t="inlineStr">
        <is>
          <t>Netto-Nutzen pro Nutzer Jahr 1</t>
        </is>
      </c>
      <c r="E11" s="131">
        <f>('5. Berechnung'!B19-'5. Berechnung'!G19)/'1. Eingaben'!B11</f>
        <v/>
      </c>
    </row>
    <row r="12">
      <c r="A12" s="20" t="inlineStr">
        <is>
          <t>Netto-Nutzen 3 Jahre</t>
        </is>
      </c>
      <c r="B12" s="131">
        <f>'5. Berechnung'!B10</f>
        <v/>
      </c>
      <c r="D12" s="20" t="inlineStr">
        <is>
          <t>Wirtschaftlich realisierbar</t>
        </is>
      </c>
      <c r="E12" s="133">
        <f>'4. Szenarien'!D6</f>
        <v/>
      </c>
    </row>
    <row r="13">
      <c r="A13" s="20" t="inlineStr">
        <is>
          <t>ROI 3 Jahre</t>
        </is>
      </c>
      <c r="B13" s="132">
        <f>'5. Berechnung'!B11</f>
        <v/>
      </c>
      <c r="D13" s="20" t="inlineStr">
        <is>
          <t>IT-Setup automatisch</t>
        </is>
      </c>
      <c r="E13" s="131">
        <f>'5. Berechnung'!E19</f>
        <v/>
      </c>
    </row>
    <row r="14">
      <c r="A14" s="20" t="inlineStr">
        <is>
          <t>Break-even</t>
        </is>
      </c>
      <c r="B14" s="134">
        <f>'5. Berechnung'!B12</f>
        <v/>
      </c>
    </row>
    <row r="15" ht="22" customHeight="1">
      <c r="A15" s="123" t="inlineStr">
        <is>
          <t>REALISTISCHES SZENARIO – ENTWICKLUNG NACH JAHR</t>
        </is>
      </c>
      <c r="B15" s="124" t="n"/>
      <c r="C15" s="124" t="n"/>
      <c r="D15" s="124" t="n"/>
      <c r="E15" s="124" t="n"/>
      <c r="F15" s="124" t="n"/>
      <c r="G15" s="124" t="n"/>
      <c r="H15" s="125" t="n"/>
    </row>
    <row r="16">
      <c r="A16" s="18">
        <f>'5. Berechnung'!A18</f>
        <v/>
      </c>
      <c r="B16" s="18">
        <f>'5. Berechnung'!B18</f>
        <v/>
      </c>
      <c r="C16" s="18">
        <f>'5. Berechnung'!C18</f>
        <v/>
      </c>
      <c r="D16" s="18">
        <f>'5. Berechnung'!D18</f>
        <v/>
      </c>
      <c r="E16" s="18">
        <f>'5. Berechnung'!E18</f>
        <v/>
      </c>
      <c r="F16" s="18">
        <f>'5. Berechnung'!F18</f>
        <v/>
      </c>
      <c r="G16" s="18">
        <f>'5. Berechnung'!G18</f>
        <v/>
      </c>
      <c r="H16" s="18">
        <f>'5. Berechnung'!H18</f>
        <v/>
      </c>
    </row>
    <row r="17">
      <c r="A17" s="20">
        <f>'5. Berechnung'!A19</f>
        <v/>
      </c>
      <c r="B17" s="135">
        <f>'5. Berechnung'!B19</f>
        <v/>
      </c>
      <c r="C17" s="135">
        <f>'5. Berechnung'!C19</f>
        <v/>
      </c>
      <c r="D17" s="135">
        <f>'5. Berechnung'!D19</f>
        <v/>
      </c>
      <c r="E17" s="135">
        <f>'5. Berechnung'!E19</f>
        <v/>
      </c>
      <c r="F17" s="135">
        <f>'5. Berechnung'!F19</f>
        <v/>
      </c>
      <c r="G17" s="135">
        <f>'5. Berechnung'!G19</f>
        <v/>
      </c>
      <c r="H17" s="135">
        <f>'5. Berechnung'!H19</f>
        <v/>
      </c>
    </row>
    <row r="18">
      <c r="A18" s="20">
        <f>'5. Berechnung'!A20</f>
        <v/>
      </c>
      <c r="B18" s="135">
        <f>'5. Berechnung'!B20</f>
        <v/>
      </c>
      <c r="C18" s="135">
        <f>'5. Berechnung'!C20</f>
        <v/>
      </c>
      <c r="D18" s="135">
        <f>'5. Berechnung'!D20</f>
        <v/>
      </c>
      <c r="E18" s="135">
        <f>'5. Berechnung'!E20</f>
        <v/>
      </c>
      <c r="F18" s="135">
        <f>'5. Berechnung'!F20</f>
        <v/>
      </c>
      <c r="G18" s="135">
        <f>'5. Berechnung'!G20</f>
        <v/>
      </c>
      <c r="H18" s="135">
        <f>'5. Berechnung'!H20</f>
        <v/>
      </c>
    </row>
    <row r="19">
      <c r="A19" s="20">
        <f>'5. Berechnung'!A21</f>
        <v/>
      </c>
      <c r="B19" s="135">
        <f>'5. Berechnung'!B21</f>
        <v/>
      </c>
      <c r="C19" s="135">
        <f>'5. Berechnung'!C21</f>
        <v/>
      </c>
      <c r="D19" s="135">
        <f>'5. Berechnung'!D21</f>
        <v/>
      </c>
      <c r="E19" s="135">
        <f>'5. Berechnung'!E21</f>
        <v/>
      </c>
      <c r="F19" s="135">
        <f>'5. Berechnung'!F21</f>
        <v/>
      </c>
      <c r="G19" s="135">
        <f>'5. Berechnung'!G21</f>
        <v/>
      </c>
      <c r="H19" s="135">
        <f>'5. Berechnung'!H21</f>
        <v/>
      </c>
    </row>
    <row r="22" ht="22" customHeight="1">
      <c r="A22" s="123" t="inlineStr">
        <is>
          <t>KOSTENBLÖCKE ÜBER 3 JAHRE</t>
        </is>
      </c>
      <c r="B22" s="124" t="n"/>
      <c r="C22" s="125" t="n"/>
      <c r="D22" s="123" t="inlineStr">
        <is>
          <t>WARUM DAS IT-SETUP SKALIERT</t>
        </is>
      </c>
      <c r="E22" s="124" t="n"/>
      <c r="F22" s="124" t="n"/>
      <c r="G22" s="124" t="n"/>
      <c r="H22" s="125" t="n"/>
    </row>
    <row r="23">
      <c r="A23" s="18" t="inlineStr">
        <is>
          <t>Kostenblock</t>
        </is>
      </c>
      <c r="B23" s="18" t="inlineStr">
        <is>
          <t>Gesamt</t>
        </is>
      </c>
      <c r="C23" s="18" t="inlineStr">
        <is>
          <t>Anteil</t>
        </is>
      </c>
      <c r="D23" s="18" t="inlineStr">
        <is>
          <t>Beispielgröße</t>
        </is>
      </c>
      <c r="E23" s="18" t="inlineStr">
        <is>
          <t>IT-Setup</t>
        </is>
      </c>
      <c r="F23" s="18" t="inlineStr">
        <is>
          <t>Pro Nutzer</t>
        </is>
      </c>
    </row>
    <row r="24">
      <c r="A24" s="20" t="inlineStr">
        <is>
          <t>Lizenzen</t>
        </is>
      </c>
      <c r="B24" s="135">
        <f>SUM('5. Berechnung'!C19:C21)</f>
        <v/>
      </c>
      <c r="C24" s="136">
        <f>IF($B$28=0,0,B24/$B$28)</f>
        <v/>
      </c>
      <c r="D24" s="137" t="n">
        <v>10</v>
      </c>
      <c r="E24" s="135">
        <f>'6. Quellen &amp; Methodik'!B16+MIN(D24,50)*'6. Quellen &amp; Methodik'!B17+MAX(MIN(D24-50,200),0)*'6. Quellen &amp; Methodik'!B18+MAX(MIN(D24-250,750),0)*'6. Quellen &amp; Methodik'!B19+MAX(D24-1000,0)*'6. Quellen &amp; Methodik'!B20</f>
        <v/>
      </c>
      <c r="F24" s="135">
        <f>E24/D24</f>
        <v/>
      </c>
    </row>
    <row r="25">
      <c r="A25" s="20" t="inlineStr">
        <is>
          <t>Training &amp; Weiterbildung</t>
        </is>
      </c>
      <c r="B25" s="135">
        <f>SUM('5. Berechnung'!D19:D21)</f>
        <v/>
      </c>
      <c r="C25" s="136">
        <f>IF($B$28=0,0,B25/$B$28)</f>
        <v/>
      </c>
      <c r="D25" s="137" t="n">
        <v>300</v>
      </c>
      <c r="E25" s="135">
        <f>'6. Quellen &amp; Methodik'!B16+MIN(D25,50)*'6. Quellen &amp; Methodik'!B17+MAX(MIN(D25-50,200),0)*'6. Quellen &amp; Methodik'!B18+MAX(MIN(D25-250,750),0)*'6. Quellen &amp; Methodik'!B19+MAX(D25-1000,0)*'6. Quellen &amp; Methodik'!B20</f>
        <v/>
      </c>
      <c r="F25" s="135">
        <f>E25/D25</f>
        <v/>
      </c>
    </row>
    <row r="26">
      <c r="A26" s="20" t="inlineStr">
        <is>
          <t>IT-Setup &amp; Einführung</t>
        </is>
      </c>
      <c r="B26" s="135">
        <f>SUM('5. Berechnung'!E19:E21)</f>
        <v/>
      </c>
      <c r="C26" s="136">
        <f>IF($B$28=0,0,B26/$B$28)</f>
        <v/>
      </c>
      <c r="D26" s="137" t="n">
        <v>1000</v>
      </c>
      <c r="E26" s="135">
        <f>'6. Quellen &amp; Methodik'!B16+MIN(D26,50)*'6. Quellen &amp; Methodik'!B17+MAX(MIN(D26-50,200),0)*'6. Quellen &amp; Methodik'!B18+MAX(MIN(D26-250,750),0)*'6. Quellen &amp; Methodik'!B19+MAX(D26-1000,0)*'6. Quellen &amp; Methodik'!B20</f>
        <v/>
      </c>
      <c r="F26" s="135">
        <f>E26/D26</f>
        <v/>
      </c>
    </row>
    <row r="27">
      <c r="A27" s="20" t="inlineStr">
        <is>
          <t>Change &amp; Adoption</t>
        </is>
      </c>
      <c r="B27" s="135">
        <f>SUM('5. Berechnung'!F19:F21)</f>
        <v/>
      </c>
      <c r="C27" s="136">
        <f>IF($B$28=0,0,B27/$B$28)</f>
        <v/>
      </c>
      <c r="D27" s="137" t="n">
        <v>5000</v>
      </c>
      <c r="E27" s="135">
        <f>'6. Quellen &amp; Methodik'!B16+MIN(D27,50)*'6. Quellen &amp; Methodik'!B17+MAX(MIN(D27-50,200),0)*'6. Quellen &amp; Methodik'!B18+MAX(MIN(D27-250,750),0)*'6. Quellen &amp; Methodik'!B19+MAX(D27-1000,0)*'6. Quellen &amp; Methodik'!B20</f>
        <v/>
      </c>
      <c r="F27" s="135">
        <f>E27/D27</f>
        <v/>
      </c>
    </row>
    <row r="28">
      <c r="A28" s="20" t="inlineStr">
        <is>
          <t>Gesamtkosten</t>
        </is>
      </c>
      <c r="B28" s="131">
        <f>SUM(B24:B27)</f>
        <v/>
      </c>
      <c r="C28" s="133">
        <f>SUM(C24:C27)</f>
        <v/>
      </c>
    </row>
    <row r="29">
      <c r="D29" s="138" t="inlineStr">
        <is>
          <t>Die Größenstaffel berücksichtigt einen festen Grundaufwand und sinkende Grenzkosten je zusätzlichem Nutzer. Dadurch nimmt der IT-Aufwand insgesamt zu, während die Kosten pro Nutzer mit der Unternehmensgröße sinken.</t>
        </is>
      </c>
      <c r="E29" s="139" t="n"/>
      <c r="F29" s="139" t="n"/>
      <c r="G29" s="139" t="n"/>
      <c r="H29" s="140" t="n"/>
    </row>
    <row r="30">
      <c r="D30" s="141" t="n"/>
      <c r="H30" s="142" t="n"/>
    </row>
    <row r="31">
      <c r="D31" s="143" t="n"/>
      <c r="E31" s="144" t="n"/>
      <c r="F31" s="144" t="n"/>
      <c r="G31" s="144" t="n"/>
      <c r="H31" s="145" t="n"/>
    </row>
    <row r="33" ht="22" customHeight="1">
      <c r="A33" s="123" t="inlineStr">
        <is>
          <t>SZENARIOVERGLEICH ÜBER 3 JAHRE</t>
        </is>
      </c>
      <c r="B33" s="124" t="n"/>
      <c r="C33" s="124" t="n"/>
      <c r="D33" s="124" t="n"/>
      <c r="E33" s="125" t="n"/>
    </row>
    <row r="34">
      <c r="A34" s="18" t="inlineStr">
        <is>
          <t>Szenario</t>
        </is>
      </c>
      <c r="B34" s="18" t="inlineStr">
        <is>
          <t>Realisierter Nutzen</t>
        </is>
      </c>
      <c r="C34" s="18" t="inlineStr">
        <is>
          <t>Gesamtkosten</t>
        </is>
      </c>
      <c r="D34" s="18" t="inlineStr">
        <is>
          <t>ROI</t>
        </is>
      </c>
      <c r="E34" s="18" t="inlineStr">
        <is>
          <t>Break-even</t>
        </is>
      </c>
    </row>
    <row r="35">
      <c r="A35" s="40" t="inlineStr">
        <is>
          <t>Realistisch</t>
        </is>
      </c>
      <c r="B35" s="146">
        <f>'5. Berechnung'!B8</f>
        <v/>
      </c>
      <c r="C35" s="146">
        <f>'5. Berechnung'!B9</f>
        <v/>
      </c>
      <c r="D35" s="147">
        <f>'5. Berechnung'!B11</f>
        <v/>
      </c>
      <c r="E35" s="148">
        <f>'5. Berechnung'!B12</f>
        <v/>
      </c>
    </row>
    <row r="36">
      <c r="A36" s="20" t="inlineStr">
        <is>
          <t>Studiennah</t>
        </is>
      </c>
      <c r="B36" s="135">
        <f>'5. Berechnung'!C8</f>
        <v/>
      </c>
      <c r="C36" s="135">
        <f>'5. Berechnung'!C9</f>
        <v/>
      </c>
      <c r="D36" s="132">
        <f>'5. Berechnung'!C11</f>
        <v/>
      </c>
      <c r="E36" s="149">
        <f>'5. Berechnung'!C12</f>
        <v/>
      </c>
    </row>
    <row r="38">
      <c r="A38" s="150" t="inlineStr">
        <is>
          <t>ROI &gt; 0%: Der Nutzen übersteigt die Kosten; die Investition erzeugt Netto-Nutzen. ROI = 0%: Break-even. ROI &lt; 0%: Der Nutzen deckt die Kosten im betrachteten Zeitraum noch nicht. Beispiel: 69% ROI bedeutet 69 Cent Netto-Nutzen je investiertem Euro. 100% ROI ist nicht die Gewinnschwelle, sondern entspricht einem gesamten Nutzen in doppelter Höhe der Kosten.</t>
        </is>
      </c>
      <c r="B38" s="139" t="n"/>
      <c r="C38" s="139" t="n"/>
      <c r="D38" s="139" t="n"/>
      <c r="E38" s="140" t="n"/>
    </row>
    <row r="39">
      <c r="A39" s="141" t="n"/>
      <c r="E39" s="142" t="n"/>
    </row>
    <row r="40">
      <c r="A40" s="141" t="n"/>
      <c r="E40" s="142" t="n"/>
    </row>
    <row r="41">
      <c r="A41" s="143" t="n"/>
      <c r="B41" s="144" t="n"/>
      <c r="C41" s="144" t="n"/>
      <c r="D41" s="144" t="n"/>
      <c r="E41" s="145" t="n"/>
    </row>
    <row r="43">
      <c r="A43" s="151" t="inlineStr">
        <is>
          <t>Einordnung: Über drei Jahre wird die Lizenz typischerweise zum größten Kostenblock. Das Training bleibt substanziell, verteilt sich aber auf die Erstausbildung und zwei Folgejahre mit jeweils 50% Weiterbildungsbudget. Nutzen und Kosten sind Planungswerte, kein Wirkungsversprechen.</t>
        </is>
      </c>
      <c r="B43" s="139" t="n"/>
      <c r="C43" s="139" t="n"/>
      <c r="D43" s="139" t="n"/>
      <c r="E43" s="140" t="n"/>
    </row>
    <row r="44">
      <c r="A44" s="141" t="n"/>
      <c r="E44" s="142" t="n"/>
    </row>
    <row r="45">
      <c r="A45" s="141" t="n"/>
      <c r="E45" s="142" t="n"/>
    </row>
    <row r="46">
      <c r="A46" s="143" t="n"/>
      <c r="B46" s="144" t="n"/>
      <c r="C46" s="144" t="n"/>
      <c r="D46" s="144" t="n"/>
      <c r="E46" s="145" t="n"/>
    </row>
  </sheetData>
  <sheetProtection selectLockedCells="0" selectUnlockedCells="0" sheet="1" objects="1" insertRows="1" insertHyperlinks="1" autoFilter="1" scenarios="1" formatColumns="1" deleteColumns="1" insertColumns="1" pivotTables="1" deleteRows="1" formatCells="1" formatRows="1" sort="1"/>
  <mergeCells count="10">
    <mergeCell ref="A38:E41"/>
    <mergeCell ref="A3:H3"/>
    <mergeCell ref="D29:H31"/>
    <mergeCell ref="A43:E46"/>
    <mergeCell ref="A15:H15"/>
    <mergeCell ref="A22:C22"/>
    <mergeCell ref="A33:E33"/>
    <mergeCell ref="A5:E5"/>
    <mergeCell ref="A1:H1"/>
    <mergeCell ref="D22:H22"/>
  </mergeCells>
  <conditionalFormatting sqref="B9">
    <cfRule type="cellIs" priority="1" operator="greaterThan" dxfId="0">
      <formula>0</formula>
    </cfRule>
    <cfRule type="cellIs" priority="2" operator="lessThan" dxfId="1">
      <formula>0</formula>
    </cfRule>
    <cfRule type="cellIs" priority="3" operator="equal" dxfId="2">
      <formula>0</formula>
    </cfRule>
  </conditionalFormatting>
  <conditionalFormatting sqref="B13">
    <cfRule type="cellIs" priority="4" operator="greaterThan" dxfId="0">
      <formula>0</formula>
    </cfRule>
    <cfRule type="cellIs" priority="5" operator="lessThan" dxfId="1">
      <formula>0</formula>
    </cfRule>
    <cfRule type="cellIs" priority="6" operator="equal" dxfId="2">
      <formula>0</formula>
    </cfRule>
  </conditionalFormatting>
  <conditionalFormatting sqref="D35:D36">
    <cfRule type="cellIs" priority="7" operator="greaterThan" dxfId="0">
      <formula>0</formula>
    </cfRule>
    <cfRule type="cellIs" priority="8" operator="lessThan" dxfId="1">
      <formula>0</formula>
    </cfRule>
    <cfRule type="cellIs" priority="9" operator="equal" dxfId="2">
      <formula>0</formula>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55"/>
  <sheetViews>
    <sheetView showGridLines="0" workbookViewId="0">
      <selection activeCell="A1" sqref="A1"/>
    </sheetView>
  </sheetViews>
  <sheetFormatPr baseColWidth="8" defaultRowHeight="15"/>
  <cols>
    <col width="13" customWidth="1" min="1" max="1"/>
    <col width="27" customWidth="1" min="2" max="2"/>
    <col width="24" customWidth="1" min="3" max="3"/>
    <col width="24" customWidth="1" min="4" max="4"/>
    <col width="24" customWidth="1" min="5" max="5"/>
    <col width="24" customWidth="1" min="6" max="6"/>
    <col width="18" customWidth="1" min="7" max="7"/>
    <col width="18" customWidth="1" min="8" max="8"/>
    <col width="1" customWidth="1" min="10" max="10"/>
    <col width="1" customWidth="1" min="11" max="11"/>
    <col width="1" customWidth="1" min="12" max="12"/>
    <col width="1" customWidth="1" min="13" max="13"/>
    <col width="1" customWidth="1" min="14" max="14"/>
    <col width="1" customWidth="1" min="15" max="15"/>
    <col width="1" customWidth="1" min="16" max="16"/>
    <col width="1" customWidth="1" min="17" max="17"/>
  </cols>
  <sheetData>
    <row r="1" ht="32" customHeight="1">
      <c r="A1" s="3" t="inlineStr">
        <is>
          <t>DREI JAHRE WIRTSCHAFTLICHE ENTWICKLUNG</t>
        </is>
      </c>
      <c r="J1" s="152" t="inlineStr">
        <is>
          <t>Monat</t>
        </is>
      </c>
      <c r="K1" s="152" t="inlineStr">
        <is>
          <t>Kumulierter realisierter Nutzen</t>
        </is>
      </c>
      <c r="L1" s="152" t="inlineStr">
        <is>
          <t>Kumulierte Kosten</t>
        </is>
      </c>
      <c r="M1" s="152" t="inlineStr">
        <is>
          <t>Kumulierter Netto-Nutzen</t>
        </is>
      </c>
      <c r="N1" s="152" t="n"/>
      <c r="O1" s="152" t="inlineStr">
        <is>
          <t>Jahr</t>
        </is>
      </c>
      <c r="P1" s="152" t="inlineStr">
        <is>
          <t>Realisierter Nutzen</t>
        </is>
      </c>
      <c r="Q1" s="152" t="inlineStr">
        <is>
          <t>Gesamtkosten</t>
        </is>
      </c>
    </row>
    <row r="2">
      <c r="J2" s="152">
        <f>'5. Berechnung'!A26</f>
        <v/>
      </c>
      <c r="K2" s="152">
        <f>'5. Berechnung'!K26</f>
        <v/>
      </c>
      <c r="L2" s="152">
        <f>'5. Berechnung'!H26</f>
        <v/>
      </c>
      <c r="M2" s="152">
        <f>'5. Berechnung'!M26</f>
        <v/>
      </c>
      <c r="N2" s="152" t="n"/>
      <c r="O2" s="152" t="n">
        <v>1</v>
      </c>
      <c r="P2" s="152">
        <f>C7</f>
        <v/>
      </c>
      <c r="Q2" s="152">
        <f>D7</f>
        <v/>
      </c>
    </row>
    <row r="3" ht="30" customHeight="1">
      <c r="A3" s="38" t="inlineStr">
        <is>
          <t>Der kumulierte Nutzen wächst über den gesamten Zeitraum. Die Rechnung verwendet bewusst nur die heute besser belegbare Assistenz-Nutzung; zusätzliches Potenzial aus neuen Funktionen und agentischen Arbeitsabläufen ist nicht eingepreist.</t>
        </is>
      </c>
      <c r="J3" s="152">
        <f>'5. Berechnung'!A27</f>
        <v/>
      </c>
      <c r="K3" s="152">
        <f>K2+'5. Berechnung'!K27</f>
        <v/>
      </c>
      <c r="L3" s="152">
        <f>L2+'5. Berechnung'!H27</f>
        <v/>
      </c>
      <c r="M3" s="152">
        <f>'5. Berechnung'!M27</f>
        <v/>
      </c>
      <c r="N3" s="152" t="n"/>
      <c r="O3" s="152" t="n">
        <v>2</v>
      </c>
      <c r="P3" s="152">
        <f>C8</f>
        <v/>
      </c>
      <c r="Q3" s="152">
        <f>D8</f>
        <v/>
      </c>
    </row>
    <row r="4">
      <c r="J4" s="152">
        <f>'5. Berechnung'!A28</f>
        <v/>
      </c>
      <c r="K4" s="152">
        <f>K3+'5. Berechnung'!K28</f>
        <v/>
      </c>
      <c r="L4" s="152">
        <f>L3+'5. Berechnung'!H28</f>
        <v/>
      </c>
      <c r="M4" s="152">
        <f>'5. Berechnung'!M28</f>
        <v/>
      </c>
      <c r="N4" s="152" t="n"/>
      <c r="O4" s="152" t="n">
        <v>3</v>
      </c>
      <c r="P4" s="152">
        <f>C9</f>
        <v/>
      </c>
      <c r="Q4" s="152">
        <f>D9</f>
        <v/>
      </c>
    </row>
    <row r="5" ht="22" customHeight="1">
      <c r="A5" s="123" t="inlineStr">
        <is>
          <t>REALISTISCHES SZENARIO – ERGEBNISSE NACH JAHR</t>
        </is>
      </c>
      <c r="B5" s="124" t="n"/>
      <c r="C5" s="124" t="n"/>
      <c r="D5" s="124" t="n"/>
      <c r="E5" s="124" t="n"/>
      <c r="F5" s="125" t="n"/>
      <c r="J5" s="152">
        <f>'5. Berechnung'!A29</f>
        <v/>
      </c>
      <c r="K5" s="152">
        <f>K4+'5. Berechnung'!K29</f>
        <v/>
      </c>
      <c r="L5" s="152">
        <f>L4+'5. Berechnung'!H29</f>
        <v/>
      </c>
      <c r="M5" s="152">
        <f>'5. Berechnung'!M29</f>
        <v/>
      </c>
      <c r="N5" s="152" t="n"/>
      <c r="O5" s="152" t="n"/>
      <c r="P5" s="152" t="n"/>
      <c r="Q5" s="152" t="n"/>
    </row>
    <row r="6">
      <c r="A6" s="18" t="inlineStr">
        <is>
          <t>Jahr</t>
        </is>
      </c>
      <c r="B6" s="18" t="inlineStr">
        <is>
          <t>Ø Brutto-Zeitersparnis</t>
        </is>
      </c>
      <c r="C6" s="18" t="inlineStr">
        <is>
          <t>Realisierter Nutzen</t>
        </is>
      </c>
      <c r="D6" s="18" t="inlineStr">
        <is>
          <t>Gesamtkosten</t>
        </is>
      </c>
      <c r="E6" s="18" t="inlineStr">
        <is>
          <t>Netto-Nutzen</t>
        </is>
      </c>
      <c r="F6" s="18" t="inlineStr">
        <is>
          <t>Kumulierter Netto-Nutzen</t>
        </is>
      </c>
      <c r="J6" s="152">
        <f>'5. Berechnung'!A30</f>
        <v/>
      </c>
      <c r="K6" s="152">
        <f>K5+'5. Berechnung'!K30</f>
        <v/>
      </c>
      <c r="L6" s="152">
        <f>L5+'5. Berechnung'!H30</f>
        <v/>
      </c>
      <c r="M6" s="152">
        <f>'5. Berechnung'!M30</f>
        <v/>
      </c>
      <c r="N6" s="152" t="n"/>
      <c r="O6" s="152" t="n"/>
      <c r="P6" s="152" t="n"/>
      <c r="Q6" s="152" t="n"/>
    </row>
    <row r="7">
      <c r="A7" s="39" t="n">
        <v>1</v>
      </c>
      <c r="B7" s="153">
        <f>'5. Berechnung'!B5</f>
        <v/>
      </c>
      <c r="C7" s="154">
        <f>'5. Berechnung'!B19</f>
        <v/>
      </c>
      <c r="D7" s="154">
        <f>'5. Berechnung'!G19</f>
        <v/>
      </c>
      <c r="E7" s="154">
        <f>'5. Berechnung'!H19</f>
        <v/>
      </c>
      <c r="F7" s="154">
        <f>E7</f>
        <v/>
      </c>
      <c r="J7" s="152">
        <f>'5. Berechnung'!A31</f>
        <v/>
      </c>
      <c r="K7" s="152">
        <f>K6+'5. Berechnung'!K31</f>
        <v/>
      </c>
      <c r="L7" s="152">
        <f>L6+'5. Berechnung'!H31</f>
        <v/>
      </c>
      <c r="M7" s="152">
        <f>'5. Berechnung'!M31</f>
        <v/>
      </c>
      <c r="N7" s="152" t="n"/>
      <c r="O7" s="152" t="n"/>
      <c r="P7" s="152" t="n"/>
      <c r="Q7" s="152" t="n"/>
    </row>
    <row r="8">
      <c r="A8" s="20" t="n">
        <v>2</v>
      </c>
      <c r="B8" s="155">
        <f>'5. Berechnung'!B6</f>
        <v/>
      </c>
      <c r="C8" s="135">
        <f>'5. Berechnung'!B20</f>
        <v/>
      </c>
      <c r="D8" s="135">
        <f>'5. Berechnung'!G20</f>
        <v/>
      </c>
      <c r="E8" s="135">
        <f>'5. Berechnung'!H20</f>
        <v/>
      </c>
      <c r="F8" s="135">
        <f>F7+E8</f>
        <v/>
      </c>
      <c r="J8" s="152">
        <f>'5. Berechnung'!A32</f>
        <v/>
      </c>
      <c r="K8" s="152">
        <f>K7+'5. Berechnung'!K32</f>
        <v/>
      </c>
      <c r="L8" s="152">
        <f>L7+'5. Berechnung'!H32</f>
        <v/>
      </c>
      <c r="M8" s="152">
        <f>'5. Berechnung'!M32</f>
        <v/>
      </c>
      <c r="N8" s="152" t="n"/>
      <c r="O8" s="152" t="n"/>
      <c r="P8" s="152" t="n"/>
      <c r="Q8" s="152" t="n"/>
    </row>
    <row r="9">
      <c r="A9" s="20" t="n">
        <v>3</v>
      </c>
      <c r="B9" s="155">
        <f>'5. Berechnung'!B7</f>
        <v/>
      </c>
      <c r="C9" s="135">
        <f>'5. Berechnung'!B21</f>
        <v/>
      </c>
      <c r="D9" s="135">
        <f>'5. Berechnung'!G21</f>
        <v/>
      </c>
      <c r="E9" s="135">
        <f>'5. Berechnung'!H21</f>
        <v/>
      </c>
      <c r="F9" s="135">
        <f>F8+E9</f>
        <v/>
      </c>
      <c r="J9" s="152">
        <f>'5. Berechnung'!A33</f>
        <v/>
      </c>
      <c r="K9" s="152">
        <f>K8+'5. Berechnung'!K33</f>
        <v/>
      </c>
      <c r="L9" s="152">
        <f>L8+'5. Berechnung'!H33</f>
        <v/>
      </c>
      <c r="M9" s="152">
        <f>'5. Berechnung'!M33</f>
        <v/>
      </c>
      <c r="N9" s="152" t="n"/>
      <c r="O9" s="152" t="n"/>
      <c r="P9" s="152" t="n"/>
      <c r="Q9" s="152" t="n"/>
    </row>
    <row r="10">
      <c r="J10" s="152">
        <f>'5. Berechnung'!A34</f>
        <v/>
      </c>
      <c r="K10" s="152">
        <f>K9+'5. Berechnung'!K34</f>
        <v/>
      </c>
      <c r="L10" s="152">
        <f>L9+'5. Berechnung'!H34</f>
        <v/>
      </c>
      <c r="M10" s="152">
        <f>'5. Berechnung'!M34</f>
        <v/>
      </c>
      <c r="N10" s="152" t="n"/>
      <c r="O10" s="152" t="n"/>
      <c r="P10" s="152" t="n"/>
      <c r="Q10" s="152" t="n"/>
    </row>
    <row r="11" ht="22" customHeight="1">
      <c r="A11" s="123" t="inlineStr">
        <is>
          <t>KUMULIERTER WIRTSCHAFTLICHER NUTZEN ÜBER 36 MONATE</t>
        </is>
      </c>
      <c r="B11" s="124" t="n"/>
      <c r="C11" s="124" t="n"/>
      <c r="D11" s="124" t="n"/>
      <c r="E11" s="124" t="n"/>
      <c r="F11" s="124" t="n"/>
      <c r="G11" s="124" t="n"/>
      <c r="H11" s="125" t="n"/>
      <c r="J11" s="152">
        <f>'5. Berechnung'!A35</f>
        <v/>
      </c>
      <c r="K11" s="152">
        <f>K10+'5. Berechnung'!K35</f>
        <v/>
      </c>
      <c r="L11" s="152">
        <f>L10+'5. Berechnung'!H35</f>
        <v/>
      </c>
      <c r="M11" s="152">
        <f>'5. Berechnung'!M35</f>
        <v/>
      </c>
      <c r="N11" s="152" t="n"/>
      <c r="O11" s="152" t="n"/>
      <c r="P11" s="152" t="n"/>
      <c r="Q11" s="152" t="n"/>
    </row>
    <row r="12">
      <c r="J12" s="152">
        <f>'5. Berechnung'!A36</f>
        <v/>
      </c>
      <c r="K12" s="152">
        <f>K11+'5. Berechnung'!K36</f>
        <v/>
      </c>
      <c r="L12" s="152">
        <f>L11+'5. Berechnung'!H36</f>
        <v/>
      </c>
      <c r="M12" s="152">
        <f>'5. Berechnung'!M36</f>
        <v/>
      </c>
      <c r="N12" s="152" t="n"/>
      <c r="O12" s="152" t="n"/>
      <c r="P12" s="152" t="n"/>
      <c r="Q12" s="152" t="n"/>
    </row>
    <row r="13">
      <c r="J13" s="152">
        <f>'5. Berechnung'!A37</f>
        <v/>
      </c>
      <c r="K13" s="152">
        <f>K12+'5. Berechnung'!K37</f>
        <v/>
      </c>
      <c r="L13" s="152">
        <f>L12+'5. Berechnung'!H37</f>
        <v/>
      </c>
      <c r="M13" s="152">
        <f>'5. Berechnung'!M37</f>
        <v/>
      </c>
      <c r="N13" s="152" t="n"/>
      <c r="O13" s="152" t="n"/>
      <c r="P13" s="152" t="n"/>
      <c r="Q13" s="152" t="n"/>
    </row>
    <row r="14">
      <c r="J14" s="152">
        <f>'5. Berechnung'!A38</f>
        <v/>
      </c>
      <c r="K14" s="152">
        <f>K13+'5. Berechnung'!K38</f>
        <v/>
      </c>
      <c r="L14" s="152">
        <f>L13+'5. Berechnung'!H38</f>
        <v/>
      </c>
      <c r="M14" s="152">
        <f>'5. Berechnung'!M38</f>
        <v/>
      </c>
      <c r="N14" s="152" t="n"/>
      <c r="O14" s="152" t="n"/>
      <c r="P14" s="152" t="n"/>
      <c r="Q14" s="152" t="n"/>
    </row>
    <row r="15">
      <c r="J15" s="152">
        <f>'5. Berechnung'!A39</f>
        <v/>
      </c>
      <c r="K15" s="152">
        <f>K14+'5. Berechnung'!K39</f>
        <v/>
      </c>
      <c r="L15" s="152">
        <f>L14+'5. Berechnung'!H39</f>
        <v/>
      </c>
      <c r="M15" s="152">
        <f>'5. Berechnung'!M39</f>
        <v/>
      </c>
      <c r="N15" s="152" t="n"/>
      <c r="O15" s="152" t="n"/>
      <c r="P15" s="152" t="n"/>
      <c r="Q15" s="152" t="n"/>
    </row>
    <row r="16">
      <c r="J16" s="152">
        <f>'5. Berechnung'!A40</f>
        <v/>
      </c>
      <c r="K16" s="152">
        <f>K15+'5. Berechnung'!K40</f>
        <v/>
      </c>
      <c r="L16" s="152">
        <f>L15+'5. Berechnung'!H40</f>
        <v/>
      </c>
      <c r="M16" s="152">
        <f>'5. Berechnung'!M40</f>
        <v/>
      </c>
      <c r="N16" s="152" t="n"/>
      <c r="O16" s="152" t="n"/>
      <c r="P16" s="152" t="n"/>
      <c r="Q16" s="152" t="n"/>
    </row>
    <row r="17">
      <c r="J17" s="152">
        <f>'5. Berechnung'!A41</f>
        <v/>
      </c>
      <c r="K17" s="152">
        <f>K16+'5. Berechnung'!K41</f>
        <v/>
      </c>
      <c r="L17" s="152">
        <f>L16+'5. Berechnung'!H41</f>
        <v/>
      </c>
      <c r="M17" s="152">
        <f>'5. Berechnung'!M41</f>
        <v/>
      </c>
      <c r="N17" s="152" t="n"/>
      <c r="O17" s="152" t="n"/>
      <c r="P17" s="152" t="n"/>
      <c r="Q17" s="152" t="n"/>
    </row>
    <row r="18">
      <c r="J18" s="152">
        <f>'5. Berechnung'!A42</f>
        <v/>
      </c>
      <c r="K18" s="152">
        <f>K17+'5. Berechnung'!K42</f>
        <v/>
      </c>
      <c r="L18" s="152">
        <f>L17+'5. Berechnung'!H42</f>
        <v/>
      </c>
      <c r="M18" s="152">
        <f>'5. Berechnung'!M42</f>
        <v/>
      </c>
      <c r="N18" s="152" t="n"/>
      <c r="O18" s="152" t="n"/>
      <c r="P18" s="152" t="n"/>
      <c r="Q18" s="152" t="n"/>
    </row>
    <row r="19">
      <c r="J19" s="152">
        <f>'5. Berechnung'!A43</f>
        <v/>
      </c>
      <c r="K19" s="152">
        <f>K18+'5. Berechnung'!K43</f>
        <v/>
      </c>
      <c r="L19" s="152">
        <f>L18+'5. Berechnung'!H43</f>
        <v/>
      </c>
      <c r="M19" s="152">
        <f>'5. Berechnung'!M43</f>
        <v/>
      </c>
      <c r="N19" s="152" t="n"/>
      <c r="O19" s="152" t="n"/>
      <c r="P19" s="152" t="n"/>
      <c r="Q19" s="152" t="n"/>
    </row>
    <row r="20">
      <c r="J20" s="152">
        <f>'5. Berechnung'!A44</f>
        <v/>
      </c>
      <c r="K20" s="152">
        <f>K19+'5. Berechnung'!K44</f>
        <v/>
      </c>
      <c r="L20" s="152">
        <f>L19+'5. Berechnung'!H44</f>
        <v/>
      </c>
      <c r="M20" s="152">
        <f>'5. Berechnung'!M44</f>
        <v/>
      </c>
      <c r="N20" s="152" t="n"/>
      <c r="O20" s="152" t="n"/>
      <c r="P20" s="152" t="n"/>
      <c r="Q20" s="152" t="n"/>
    </row>
    <row r="21">
      <c r="J21" s="152">
        <f>'5. Berechnung'!A45</f>
        <v/>
      </c>
      <c r="K21" s="152">
        <f>K20+'5. Berechnung'!K45</f>
        <v/>
      </c>
      <c r="L21" s="152">
        <f>L20+'5. Berechnung'!H45</f>
        <v/>
      </c>
      <c r="M21" s="152">
        <f>'5. Berechnung'!M45</f>
        <v/>
      </c>
      <c r="N21" s="152" t="n"/>
      <c r="O21" s="152" t="n"/>
      <c r="P21" s="152" t="n"/>
      <c r="Q21" s="152" t="n"/>
    </row>
    <row r="22">
      <c r="J22" s="152">
        <f>'5. Berechnung'!A46</f>
        <v/>
      </c>
      <c r="K22" s="152">
        <f>K21+'5. Berechnung'!K46</f>
        <v/>
      </c>
      <c r="L22" s="152">
        <f>L21+'5. Berechnung'!H46</f>
        <v/>
      </c>
      <c r="M22" s="152">
        <f>'5. Berechnung'!M46</f>
        <v/>
      </c>
      <c r="N22" s="152" t="n"/>
      <c r="O22" s="152" t="n"/>
      <c r="P22" s="152" t="n"/>
      <c r="Q22" s="152" t="n"/>
    </row>
    <row r="23">
      <c r="J23" s="152">
        <f>'5. Berechnung'!A47</f>
        <v/>
      </c>
      <c r="K23" s="152">
        <f>K22+'5. Berechnung'!K47</f>
        <v/>
      </c>
      <c r="L23" s="152">
        <f>L22+'5. Berechnung'!H47</f>
        <v/>
      </c>
      <c r="M23" s="152">
        <f>'5. Berechnung'!M47</f>
        <v/>
      </c>
      <c r="N23" s="152" t="n"/>
      <c r="O23" s="152" t="n"/>
      <c r="P23" s="152" t="n"/>
      <c r="Q23" s="152" t="n"/>
    </row>
    <row r="24">
      <c r="J24" s="152">
        <f>'5. Berechnung'!A48</f>
        <v/>
      </c>
      <c r="K24" s="152">
        <f>K23+'5. Berechnung'!K48</f>
        <v/>
      </c>
      <c r="L24" s="152">
        <f>L23+'5. Berechnung'!H48</f>
        <v/>
      </c>
      <c r="M24" s="152">
        <f>'5. Berechnung'!M48</f>
        <v/>
      </c>
      <c r="N24" s="152" t="n"/>
      <c r="O24" s="152" t="n"/>
      <c r="P24" s="152" t="n"/>
      <c r="Q24" s="152" t="n"/>
    </row>
    <row r="25">
      <c r="J25" s="152">
        <f>'5. Berechnung'!A49</f>
        <v/>
      </c>
      <c r="K25" s="152">
        <f>K24+'5. Berechnung'!K49</f>
        <v/>
      </c>
      <c r="L25" s="152">
        <f>L24+'5. Berechnung'!H49</f>
        <v/>
      </c>
      <c r="M25" s="152">
        <f>'5. Berechnung'!M49</f>
        <v/>
      </c>
      <c r="N25" s="152" t="n"/>
      <c r="O25" s="152" t="n"/>
      <c r="P25" s="152" t="n"/>
      <c r="Q25" s="152" t="n"/>
    </row>
    <row r="26">
      <c r="J26" s="152">
        <f>'5. Berechnung'!A50</f>
        <v/>
      </c>
      <c r="K26" s="152">
        <f>K25+'5. Berechnung'!K50</f>
        <v/>
      </c>
      <c r="L26" s="152">
        <f>L25+'5. Berechnung'!H50</f>
        <v/>
      </c>
      <c r="M26" s="152">
        <f>'5. Berechnung'!M50</f>
        <v/>
      </c>
      <c r="N26" s="152" t="n"/>
      <c r="O26" s="152" t="n"/>
      <c r="P26" s="152" t="n"/>
      <c r="Q26" s="152" t="n"/>
    </row>
    <row r="27">
      <c r="J27" s="152">
        <f>'5. Berechnung'!A51</f>
        <v/>
      </c>
      <c r="K27" s="152">
        <f>K26+'5. Berechnung'!K51</f>
        <v/>
      </c>
      <c r="L27" s="152">
        <f>L26+'5. Berechnung'!H51</f>
        <v/>
      </c>
      <c r="M27" s="152">
        <f>'5. Berechnung'!M51</f>
        <v/>
      </c>
      <c r="N27" s="152" t="n"/>
      <c r="O27" s="152" t="n"/>
      <c r="P27" s="152" t="n"/>
      <c r="Q27" s="152" t="n"/>
    </row>
    <row r="28">
      <c r="J28" s="152">
        <f>'5. Berechnung'!A52</f>
        <v/>
      </c>
      <c r="K28" s="152">
        <f>K27+'5. Berechnung'!K52</f>
        <v/>
      </c>
      <c r="L28" s="152">
        <f>L27+'5. Berechnung'!H52</f>
        <v/>
      </c>
      <c r="M28" s="152">
        <f>'5. Berechnung'!M52</f>
        <v/>
      </c>
      <c r="N28" s="152" t="n"/>
      <c r="O28" s="152" t="n"/>
      <c r="P28" s="152" t="n"/>
      <c r="Q28" s="152" t="n"/>
    </row>
    <row r="29">
      <c r="J29" s="152">
        <f>'5. Berechnung'!A53</f>
        <v/>
      </c>
      <c r="K29" s="152">
        <f>K28+'5. Berechnung'!K53</f>
        <v/>
      </c>
      <c r="L29" s="152">
        <f>L28+'5. Berechnung'!H53</f>
        <v/>
      </c>
      <c r="M29" s="152">
        <f>'5. Berechnung'!M53</f>
        <v/>
      </c>
      <c r="N29" s="152" t="n"/>
      <c r="O29" s="152" t="n"/>
      <c r="P29" s="152" t="n"/>
      <c r="Q29" s="152" t="n"/>
    </row>
    <row r="30">
      <c r="J30" s="152">
        <f>'5. Berechnung'!A54</f>
        <v/>
      </c>
      <c r="K30" s="152">
        <f>K29+'5. Berechnung'!K54</f>
        <v/>
      </c>
      <c r="L30" s="152">
        <f>L29+'5. Berechnung'!H54</f>
        <v/>
      </c>
      <c r="M30" s="152">
        <f>'5. Berechnung'!M54</f>
        <v/>
      </c>
      <c r="N30" s="152" t="n"/>
      <c r="O30" s="152" t="n"/>
      <c r="P30" s="152" t="n"/>
      <c r="Q30" s="152" t="n"/>
    </row>
    <row r="31" ht="22" customHeight="1">
      <c r="A31" s="123" t="inlineStr">
        <is>
          <t>NUTZEN UND KOSTEN NACH JAHR</t>
        </is>
      </c>
      <c r="B31" s="124" t="n"/>
      <c r="C31" s="124" t="n"/>
      <c r="D31" s="124" t="n"/>
      <c r="E31" s="124" t="n"/>
      <c r="F31" s="124" t="n"/>
      <c r="G31" s="124" t="n"/>
      <c r="H31" s="125" t="n"/>
      <c r="J31" s="152">
        <f>'5. Berechnung'!A55</f>
        <v/>
      </c>
      <c r="K31" s="152">
        <f>K30+'5. Berechnung'!K55</f>
        <v/>
      </c>
      <c r="L31" s="152">
        <f>L30+'5. Berechnung'!H55</f>
        <v/>
      </c>
      <c r="M31" s="152">
        <f>'5. Berechnung'!M55</f>
        <v/>
      </c>
      <c r="N31" s="152" t="n"/>
      <c r="O31" s="152" t="n"/>
      <c r="P31" s="152" t="n"/>
      <c r="Q31" s="152" t="n"/>
    </row>
    <row r="32">
      <c r="J32" s="152">
        <f>'5. Berechnung'!A56</f>
        <v/>
      </c>
      <c r="K32" s="152">
        <f>K31+'5. Berechnung'!K56</f>
        <v/>
      </c>
      <c r="L32" s="152">
        <f>L31+'5. Berechnung'!H56</f>
        <v/>
      </c>
      <c r="M32" s="152">
        <f>'5. Berechnung'!M56</f>
        <v/>
      </c>
      <c r="N32" s="152" t="n"/>
      <c r="O32" s="152" t="n"/>
      <c r="P32" s="152" t="n"/>
      <c r="Q32" s="152" t="n"/>
    </row>
    <row r="33">
      <c r="J33" s="152">
        <f>'5. Berechnung'!A57</f>
        <v/>
      </c>
      <c r="K33" s="152">
        <f>K32+'5. Berechnung'!K57</f>
        <v/>
      </c>
      <c r="L33" s="152">
        <f>L32+'5. Berechnung'!H57</f>
        <v/>
      </c>
      <c r="M33" s="152">
        <f>'5. Berechnung'!M57</f>
        <v/>
      </c>
      <c r="N33" s="152" t="n"/>
      <c r="O33" s="152" t="n"/>
      <c r="P33" s="152" t="n"/>
      <c r="Q33" s="152" t="n"/>
    </row>
    <row r="34">
      <c r="J34" s="152">
        <f>'5. Berechnung'!A58</f>
        <v/>
      </c>
      <c r="K34" s="152">
        <f>K33+'5. Berechnung'!K58</f>
        <v/>
      </c>
      <c r="L34" s="152">
        <f>L33+'5. Berechnung'!H58</f>
        <v/>
      </c>
      <c r="M34" s="152">
        <f>'5. Berechnung'!M58</f>
        <v/>
      </c>
      <c r="N34" s="152" t="n"/>
      <c r="O34" s="152" t="n"/>
      <c r="P34" s="152" t="n"/>
      <c r="Q34" s="152" t="n"/>
    </row>
    <row r="35">
      <c r="J35" s="152">
        <f>'5. Berechnung'!A59</f>
        <v/>
      </c>
      <c r="K35" s="152">
        <f>K34+'5. Berechnung'!K59</f>
        <v/>
      </c>
      <c r="L35" s="152">
        <f>L34+'5. Berechnung'!H59</f>
        <v/>
      </c>
      <c r="M35" s="152">
        <f>'5. Berechnung'!M59</f>
        <v/>
      </c>
      <c r="N35" s="152" t="n"/>
      <c r="O35" s="152" t="n"/>
      <c r="P35" s="152" t="n"/>
      <c r="Q35" s="152" t="n"/>
    </row>
    <row r="36">
      <c r="J36" s="152">
        <f>'5. Berechnung'!A60</f>
        <v/>
      </c>
      <c r="K36" s="152">
        <f>K35+'5. Berechnung'!K60</f>
        <v/>
      </c>
      <c r="L36" s="152">
        <f>L35+'5. Berechnung'!H60</f>
        <v/>
      </c>
      <c r="M36" s="152">
        <f>'5. Berechnung'!M60</f>
        <v/>
      </c>
      <c r="N36" s="152" t="n"/>
      <c r="O36" s="152" t="n"/>
      <c r="P36" s="152" t="n"/>
      <c r="Q36" s="152" t="n"/>
    </row>
    <row r="37">
      <c r="J37" s="152">
        <f>'5. Berechnung'!A61</f>
        <v/>
      </c>
      <c r="K37" s="152">
        <f>K36+'5. Berechnung'!K61</f>
        <v/>
      </c>
      <c r="L37" s="152">
        <f>L36+'5. Berechnung'!H61</f>
        <v/>
      </c>
      <c r="M37" s="152">
        <f>'5. Berechnung'!M61</f>
        <v/>
      </c>
      <c r="N37" s="152" t="n"/>
      <c r="O37" s="152" t="n"/>
      <c r="P37" s="152" t="n"/>
      <c r="Q37" s="152" t="n"/>
    </row>
    <row r="50" ht="22" customHeight="1">
      <c r="A50" s="123" t="inlineStr">
        <is>
          <t>WAS DIE DREI-JAHRES-PERSPEKTIVE BEWUSST NICHT DECKELT</t>
        </is>
      </c>
      <c r="B50" s="124" t="n"/>
      <c r="C50" s="124" t="n"/>
      <c r="D50" s="124" t="n"/>
      <c r="E50" s="124" t="n"/>
      <c r="F50" s="124" t="n"/>
      <c r="G50" s="124" t="n"/>
      <c r="H50" s="125" t="n"/>
    </row>
    <row r="51">
      <c r="A51" s="156" t="inlineStr">
        <is>
          <t>Die 8 beziehungsweise 9 Stunden sind eine konservativ festgehaltene Assistenz-Baseline – keine langfristige Obergrenze. Leistungsfähigere Modelle, zusätzliche Werkzeuge, bessere Prozessintegration und der Übergang zu agentischen, mehrstufigen Tätigkeiten können den Nutzen künftig weiter erhöhen. Weil dafür noch keine belastbaren, allgemein übertragbaren Benchmarks vorliegen, wird dieses zusätzliche Potenzial nicht in den ROI hineingerechnet. So bleibt der Business Case nachvollziehbar, ohne die technologische Entwicklung kleinzurechnen.</t>
        </is>
      </c>
      <c r="B51" s="139" t="n"/>
      <c r="C51" s="139" t="n"/>
      <c r="D51" s="139" t="n"/>
      <c r="E51" s="139" t="n"/>
      <c r="F51" s="139" t="n"/>
      <c r="G51" s="139" t="n"/>
      <c r="H51" s="140" t="n"/>
    </row>
    <row r="52">
      <c r="A52" s="141" t="n"/>
      <c r="H52" s="142" t="n"/>
    </row>
    <row r="53">
      <c r="A53" s="141" t="n"/>
      <c r="H53" s="142" t="n"/>
    </row>
    <row r="54">
      <c r="A54" s="141" t="n"/>
      <c r="H54" s="142" t="n"/>
    </row>
    <row r="55">
      <c r="A55" s="143" t="n"/>
      <c r="B55" s="144" t="n"/>
      <c r="C55" s="144" t="n"/>
      <c r="D55" s="144" t="n"/>
      <c r="E55" s="144" t="n"/>
      <c r="F55" s="144" t="n"/>
      <c r="G55" s="144" t="n"/>
      <c r="H55" s="145" t="n"/>
    </row>
  </sheetData>
  <sheetProtection selectLockedCells="0" selectUnlockedCells="0" sheet="1" objects="1" insertRows="1" insertHyperlinks="1" autoFilter="1" scenarios="1" formatColumns="1" deleteColumns="1" insertColumns="1" pivotTables="1" deleteRows="1" formatCells="1" formatRows="1" sort="1"/>
  <mergeCells count="7">
    <mergeCell ref="A50:H50"/>
    <mergeCell ref="A3:H3"/>
    <mergeCell ref="A51:H55"/>
    <mergeCell ref="A5:F5"/>
    <mergeCell ref="A11:H11"/>
    <mergeCell ref="A1:H1"/>
    <mergeCell ref="A31:H31"/>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36" customWidth="1" min="1" max="1"/>
    <col width="22" customWidth="1" min="2" max="2"/>
    <col width="24" customWidth="1" min="3" max="3"/>
    <col width="31" customWidth="1" min="4" max="4"/>
    <col width="20" customWidth="1" min="5" max="5"/>
    <col width="50" customWidth="1" min="6" max="6"/>
  </cols>
  <sheetData>
    <row r="1" ht="32" customHeight="1">
      <c r="A1" s="3" t="inlineStr">
        <is>
          <t>PLANUNGSSZENARIEN</t>
        </is>
      </c>
    </row>
    <row r="3" ht="30" customHeight="1">
      <c r="A3" s="38" t="inlineStr">
        <is>
          <t>Alle geschulten Personen werden berücksichtigt. Die modellierte Kurve beschreibt nur den Kompetenzaufbau zur heute belegbaren Assistenz-Nutzung – nicht die langfristige Grenze des KI-Potenzials.</t>
        </is>
      </c>
    </row>
    <row r="5">
      <c r="A5" s="18" t="inlineStr">
        <is>
          <t>Szenario</t>
        </is>
      </c>
      <c r="B5" s="18" t="inlineStr">
        <is>
          <t>Ziel-Zeitersparnis</t>
        </is>
      </c>
      <c r="C5" s="18" t="inlineStr">
        <is>
          <t>Anteil am 9h-Benchmark</t>
        </is>
      </c>
      <c r="D5" s="18" t="inlineStr">
        <is>
          <t>Wirtschaftlich realisierbar</t>
        </is>
      </c>
      <c r="E5" s="18" t="inlineStr">
        <is>
          <t>Geschulte Nutzer</t>
        </is>
      </c>
      <c r="F5" s="18" t="inlineStr">
        <is>
          <t>Einordnung</t>
        </is>
      </c>
    </row>
    <row r="6">
      <c r="A6" s="39" t="inlineStr">
        <is>
          <t>Realistisch</t>
        </is>
      </c>
      <c r="B6" s="157" t="n">
        <v>8</v>
      </c>
      <c r="C6" s="133">
        <f>B6/9</f>
        <v/>
      </c>
      <c r="D6" s="147" t="n">
        <v>0.5</v>
      </c>
      <c r="E6" s="158">
        <f>'1. Eingaben'!B11</f>
        <v/>
      </c>
      <c r="F6" s="39" t="inlineStr">
        <is>
          <t>Forrester: typische allgemeine Nutzer sparen etwa 8 Std./Monat</t>
        </is>
      </c>
    </row>
    <row r="7">
      <c r="A7" s="20" t="inlineStr">
        <is>
          <t>Studiennah</t>
        </is>
      </c>
      <c r="B7" s="157" t="n">
        <v>9</v>
      </c>
      <c r="C7" s="133">
        <f>B7/9</f>
        <v/>
      </c>
      <c r="D7" s="147" t="n">
        <v>0.5</v>
      </c>
      <c r="E7" s="129">
        <f>'1. Eingaben'!B11</f>
        <v/>
      </c>
      <c r="F7" s="20" t="inlineStr">
        <is>
          <t>Forrester-Modellwert: durchschnittlich 9 Std./Monat</t>
        </is>
      </c>
    </row>
    <row r="11" ht="22" customHeight="1">
      <c r="A11" s="123" t="inlineStr">
        <is>
          <t>GEMEINSAME TRAININGSKURVE</t>
        </is>
      </c>
      <c r="B11" s="124" t="n"/>
      <c r="C11" s="124" t="n"/>
      <c r="D11" s="124" t="n"/>
      <c r="E11" s="124" t="n"/>
      <c r="F11" s="125" t="n"/>
    </row>
    <row r="12">
      <c r="A12" s="18" t="inlineStr">
        <is>
          <t>Annahme</t>
        </is>
      </c>
      <c r="B12" s="18" t="inlineStr">
        <is>
          <t>Wert</t>
        </is>
      </c>
      <c r="C12" s="18" t="inlineStr">
        <is>
          <t>Einheit</t>
        </is>
      </c>
      <c r="D12" s="18" t="inlineStr">
        <is>
          <t>Bedeutung</t>
        </is>
      </c>
      <c r="E12" s="18" t="n"/>
      <c r="F12" s="18" t="n"/>
    </row>
    <row r="13">
      <c r="A13" s="20" t="inlineStr">
        <is>
          <t>Startniveau direkt nach Kick-off</t>
        </is>
      </c>
      <c r="B13" s="147" t="n">
        <v>0.6</v>
      </c>
      <c r="C13" s="20" t="inlineStr">
        <is>
          <t>% der Ziel-Zeitersparnis</t>
        </is>
      </c>
      <c r="D13" s="50" t="inlineStr">
        <is>
          <t>Sofortiger Kompetenz- und Motivationsimpuls</t>
        </is>
      </c>
      <c r="E13" s="124" t="n"/>
      <c r="F13" s="125" t="n"/>
    </row>
    <row r="14">
      <c r="A14" s="20" t="inlineStr">
        <is>
          <t>Halbwertszeit der verbleibenden Lücke</t>
        </is>
      </c>
      <c r="B14" s="159" t="n">
        <v>2</v>
      </c>
      <c r="C14" s="20" t="inlineStr">
        <is>
          <t>Monate</t>
        </is>
      </c>
      <c r="D14" s="50" t="inlineStr">
        <is>
          <t>Alle 2 Monate halbiert sich die noch offene Lücke zur Ziel-Zeitersparnis</t>
        </is>
      </c>
      <c r="E14" s="124" t="n"/>
      <c r="F14" s="125" t="n"/>
    </row>
    <row r="15">
      <c r="A15" s="20" t="inlineStr">
        <is>
          <t>Kurvenform</t>
        </is>
      </c>
      <c r="B15" s="20" t="inlineStr">
        <is>
          <t>Ramp-up zur Assistenz-Baseline</t>
        </is>
      </c>
      <c r="C15" s="20" t="str"/>
      <c r="D15" s="50" t="inlineStr">
        <is>
          <t>Schneller Kompetenzaufbau; keine Aussage über das langfristige Gesamtpotenzial</t>
        </is>
      </c>
      <c r="E15" s="124" t="n"/>
      <c r="F15" s="125" t="n"/>
    </row>
    <row r="16">
      <c r="A16" s="20" t="inlineStr">
        <is>
          <t>Evidenz</t>
        </is>
      </c>
      <c r="B16" s="20" t="inlineStr">
        <is>
          <t>Ca. 12 Wochen bis Vertrautheit/Kompetenz</t>
        </is>
      </c>
      <c r="C16" s="20" t="str"/>
      <c r="D16" s="50" t="inlineStr">
        <is>
          <t>Forrester-Interviews; genaue Kurve ist eine Modellannahme</t>
        </is>
      </c>
      <c r="E16" s="124" t="n"/>
      <c r="F16" s="125" t="n"/>
    </row>
    <row r="17">
      <c r="A17" s="53" t="inlineStr">
        <is>
          <t>Wichtig</t>
        </is>
      </c>
      <c r="B17" s="53" t="inlineStr">
        <is>
          <t>Alle geschulten Personen zählen</t>
        </is>
      </c>
      <c r="C17" s="53" t="str"/>
      <c r="D17" s="54" t="inlineStr">
        <is>
          <t>Die Zeitersparnis gilt je Person – sie ist keine Quote aktiver Personen.</t>
        </is>
      </c>
      <c r="E17" s="124" t="n"/>
      <c r="F17" s="125" t="n"/>
    </row>
    <row r="20" ht="22" customHeight="1">
      <c r="A20" s="123" t="inlineStr">
        <is>
          <t>KOMPETENZAUFBAU ZUR HEUTIGEN ASSISTENZ-BASELINE</t>
        </is>
      </c>
      <c r="B20" s="124" t="n"/>
      <c r="C20" s="125" t="n"/>
      <c r="D20" s="123" t="inlineStr">
        <is>
          <t>WARUM DAS POTENZIAL DANACH WEITER STEIGEN KANN</t>
        </is>
      </c>
      <c r="E20" s="124" t="n"/>
      <c r="F20" s="125" t="n"/>
    </row>
    <row r="21">
      <c r="A21" s="18" t="inlineStr">
        <is>
          <t>Monat</t>
        </is>
      </c>
      <c r="B21" s="18" t="inlineStr">
        <is>
          <t>Realistisch</t>
        </is>
      </c>
      <c r="C21" s="18" t="inlineStr">
        <is>
          <t>Studiennah</t>
        </is>
      </c>
      <c r="D21" s="138" t="inlineStr">
        <is>
          <t>Die Baseline bildet heute belegbare Assistenz-Nutzung ab: Schreiben, Zusammenfassen, Analysieren, Recherchieren und Vorbereiten. Der Kompetenzaufbau zu diesem Niveau wird vorsichtig modelliert.</t>
        </is>
      </c>
      <c r="E21" s="139" t="n"/>
      <c r="F21" s="140" t="n"/>
    </row>
    <row r="22">
      <c r="A22" s="20" t="n">
        <v>1</v>
      </c>
      <c r="B22" s="160">
        <f>'5. Berechnung'!I26</f>
        <v/>
      </c>
      <c r="C22" s="160">
        <f>'5. Berechnung'!J26</f>
        <v/>
      </c>
      <c r="D22" s="141" t="n"/>
      <c r="F22" s="142" t="n"/>
    </row>
    <row r="23">
      <c r="A23" s="20" t="n">
        <v>3</v>
      </c>
      <c r="B23" s="160">
        <f>'5. Berechnung'!I28</f>
        <v/>
      </c>
      <c r="C23" s="160">
        <f>'5. Berechnung'!J28</f>
        <v/>
      </c>
      <c r="D23" s="143" t="n"/>
      <c r="E23" s="144" t="n"/>
      <c r="F23" s="145" t="n"/>
    </row>
    <row r="24">
      <c r="A24" s="20" t="n">
        <v>6</v>
      </c>
      <c r="B24" s="160">
        <f>'5. Berechnung'!I31</f>
        <v/>
      </c>
      <c r="C24" s="160">
        <f>'5. Berechnung'!J31</f>
        <v/>
      </c>
    </row>
    <row r="25">
      <c r="A25" s="20" t="n">
        <v>12</v>
      </c>
      <c r="B25" s="160">
        <f>'5. Berechnung'!I37</f>
        <v/>
      </c>
      <c r="C25" s="160">
        <f>'5. Berechnung'!J37</f>
        <v/>
      </c>
      <c r="D25" s="156" t="inlineStr">
        <is>
          <t>Nicht eingepreist sind leistungsfähigere Modelle, neue Funktionen und Tools, tiefere Prozessintegration sowie agentische, mehrstufige Arbeitsabläufe. Diese können die Zeitersparnis später zusätzlich erhöhen, sind heute aber noch nicht belastbar genug für eine feste Formel.</t>
        </is>
      </c>
      <c r="E25" s="139" t="n"/>
      <c r="F25" s="140" t="n"/>
    </row>
    <row r="26">
      <c r="A26" s="20" t="n">
        <v>24</v>
      </c>
      <c r="B26" s="160">
        <f>'5. Berechnung'!I49</f>
        <v/>
      </c>
      <c r="C26" s="160">
        <f>'5. Berechnung'!J49</f>
        <v/>
      </c>
      <c r="D26" s="141" t="n"/>
      <c r="F26" s="142" t="n"/>
    </row>
    <row r="27">
      <c r="A27" s="20" t="n">
        <v>36</v>
      </c>
      <c r="B27" s="160">
        <f>'5. Berechnung'!I61</f>
        <v/>
      </c>
      <c r="C27" s="160">
        <f>'5. Berechnung'!J61</f>
        <v/>
      </c>
      <c r="D27" s="143" t="n"/>
      <c r="E27" s="144" t="n"/>
      <c r="F27" s="145" t="n"/>
    </row>
  </sheetData>
  <sheetProtection selectLockedCells="0" selectUnlockedCells="0" sheet="1" objects="1" insertRows="1" insertHyperlinks="1" autoFilter="1" scenarios="1" formatColumns="1" deleteColumns="1" insertColumns="1" pivotTables="1" deleteRows="1" formatCells="1" formatRows="1" sort="1"/>
  <mergeCells count="12">
    <mergeCell ref="A11:F11"/>
    <mergeCell ref="D13:F13"/>
    <mergeCell ref="D14:F14"/>
    <mergeCell ref="A1:F1"/>
    <mergeCell ref="D17:F17"/>
    <mergeCell ref="D15:F15"/>
    <mergeCell ref="A3:F3"/>
    <mergeCell ref="D20:F20"/>
    <mergeCell ref="A20:C20"/>
    <mergeCell ref="D16:F16"/>
    <mergeCell ref="D21:F23"/>
    <mergeCell ref="D25:F27"/>
  </mergeCells>
  <dataValidations count="4">
    <dataValidation sqref="B6:B7" showDropDown="0" showInputMessage="0" showErrorMessage="0" allowBlank="0" type="decimal" operator="between">
      <formula1>0</formula1>
      <formula2>20</formula2>
    </dataValidation>
    <dataValidation sqref="D6:D7" showDropDown="0" showInputMessage="0" showErrorMessage="0" allowBlank="0" type="decimal" operator="between">
      <formula1>0</formula1>
      <formula2>1</formula2>
    </dataValidation>
    <dataValidation sqref="B13" showDropDown="0" showInputMessage="0" showErrorMessage="0" allowBlank="0" type="decimal" operator="between">
      <formula1>0</formula1>
      <formula2>1</formula2>
    </dataValidation>
    <dataValidation sqref="B14" showDropDown="0" showInputMessage="0" showErrorMessage="0" allowBlank="0" type="decimal" operator="between">
      <formula1>0.25</formula1>
      <formula2>12</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61"/>
  <sheetViews>
    <sheetView showGridLines="0" workbookViewId="0">
      <selection activeCell="A1" sqref="A1"/>
    </sheetView>
  </sheetViews>
  <sheetFormatPr baseColWidth="8" defaultRowHeight="15"/>
  <cols>
    <col width="36" customWidth="1" min="1" max="1"/>
    <col width="18" customWidth="1" min="2" max="2"/>
    <col width="18" customWidth="1" min="3" max="3"/>
    <col width="18" customWidth="1" min="4" max="4"/>
    <col width="17" customWidth="1" min="5" max="5"/>
    <col width="17" customWidth="1" min="6" max="6"/>
    <col width="17" customWidth="1" min="7" max="7"/>
    <col width="17" customWidth="1" min="8" max="8"/>
    <col width="20" customWidth="1" min="9" max="9"/>
    <col width="20" customWidth="1" min="10" max="10"/>
    <col width="20" customWidth="1" min="11" max="11"/>
    <col width="20" customWidth="1" min="12" max="12"/>
    <col width="20" customWidth="1" min="13" max="13"/>
    <col width="20" customWidth="1" min="14" max="14"/>
    <col width="3" customWidth="1" min="15" max="15"/>
    <col width="3" customWidth="1" min="16" max="16"/>
  </cols>
  <sheetData>
    <row r="1" ht="32" customHeight="1">
      <c r="A1" s="3" t="inlineStr">
        <is>
          <t>BERECHNUNG – 36 MONATE, TRANSPARENT UND FORMELBASIERT</t>
        </is>
      </c>
    </row>
    <row r="3">
      <c r="A3" s="18" t="inlineStr">
        <is>
          <t>Kennzahl</t>
        </is>
      </c>
      <c r="B3" s="18" t="inlineStr">
        <is>
          <t>Realistisch</t>
        </is>
      </c>
      <c r="C3" s="18" t="inlineStr">
        <is>
          <t>Studiennah</t>
        </is>
      </c>
    </row>
    <row r="4">
      <c r="A4" s="20" t="inlineStr">
        <is>
          <t>Ziel-Zeitersparnis je Person / Monat</t>
        </is>
      </c>
      <c r="B4" s="161">
        <f>'4. Szenarien'!B6</f>
        <v/>
      </c>
      <c r="C4" s="160">
        <f>'4. Szenarien'!B7</f>
        <v/>
      </c>
    </row>
    <row r="5">
      <c r="A5" s="20" t="inlineStr">
        <is>
          <t>Ø Brutto-Zeitersparnis Jahr 1 / Monat</t>
        </is>
      </c>
      <c r="B5" s="161">
        <f>AVERAGE(I26:I37)</f>
        <v/>
      </c>
      <c r="C5" s="160">
        <f>AVERAGE(J26:J37)</f>
        <v/>
      </c>
    </row>
    <row r="6">
      <c r="A6" s="20" t="inlineStr">
        <is>
          <t>Ø Brutto-Zeitersparnis Jahr 2 / Monat</t>
        </is>
      </c>
      <c r="B6" s="161">
        <f>AVERAGE(I38:I49)</f>
        <v/>
      </c>
      <c r="C6" s="160">
        <f>AVERAGE(J38:J49)</f>
        <v/>
      </c>
    </row>
    <row r="7">
      <c r="A7" s="20" t="inlineStr">
        <is>
          <t>Ø Brutto-Zeitersparnis Jahr 3 / Monat</t>
        </is>
      </c>
      <c r="B7" s="161">
        <f>AVERAGE(I50:I61)</f>
        <v/>
      </c>
      <c r="C7" s="160">
        <f>AVERAGE(J50:J61)</f>
        <v/>
      </c>
    </row>
    <row r="8">
      <c r="A8" s="20" t="inlineStr">
        <is>
          <t>Realisierter Nutzen 3 Jahre</t>
        </is>
      </c>
      <c r="B8" s="146">
        <f>SUM(K26:K61)</f>
        <v/>
      </c>
      <c r="C8" s="135">
        <f>SUM(L26:L61)</f>
        <v/>
      </c>
    </row>
    <row r="9">
      <c r="A9" s="20" t="inlineStr">
        <is>
          <t>Gesamtkosten 3 Jahre</t>
        </is>
      </c>
      <c r="B9" s="146">
        <f>SUM(H26:H61)</f>
        <v/>
      </c>
      <c r="C9" s="135">
        <f>SUM(H26:H61)</f>
        <v/>
      </c>
    </row>
    <row r="10">
      <c r="A10" s="20" t="inlineStr">
        <is>
          <t>Netto-Nutzen 3 Jahre</t>
        </is>
      </c>
      <c r="B10" s="146">
        <f>B8-B9</f>
        <v/>
      </c>
      <c r="C10" s="135">
        <f>C8-C9</f>
        <v/>
      </c>
    </row>
    <row r="11">
      <c r="A11" s="20" t="inlineStr">
        <is>
          <t>ROI 3 Jahre</t>
        </is>
      </c>
      <c r="B11" s="147">
        <f>IF(B9=0,0,B10/B9)</f>
        <v/>
      </c>
      <c r="C11" s="132">
        <f>IF(C9=0,0,C10/C9)</f>
        <v/>
      </c>
    </row>
    <row r="12">
      <c r="A12" s="20" t="inlineStr">
        <is>
          <t>Break-even</t>
        </is>
      </c>
      <c r="B12" s="148">
        <f>IF(MIN(O26:O61)=99,"&gt; 36 Monate",MIN(O26:O61))</f>
        <v/>
      </c>
      <c r="C12" s="149">
        <f>IF(MIN(P26:P61)=99,"&gt; 36 Monate",MIN(P26:P61))</f>
        <v/>
      </c>
    </row>
    <row r="13">
      <c r="A13" s="20" t="inlineStr">
        <is>
          <t>Kosten pro Nutzer / 3 Jahre</t>
        </is>
      </c>
      <c r="B13" s="146">
        <f>IF('1. Eingaben'!B11=0,0,B9/'1. Eingaben'!B11)</f>
        <v/>
      </c>
      <c r="C13" s="135">
        <f>IF('1. Eingaben'!B11=0,0,C9/'1. Eingaben'!B11)</f>
        <v/>
      </c>
    </row>
    <row r="14">
      <c r="A14" s="20" t="inlineStr">
        <is>
          <t>Realisierter Nutzen pro Nutzer / 3 Jahre</t>
        </is>
      </c>
      <c r="B14" s="146">
        <f>IF('1. Eingaben'!B11=0,0,B8/'1. Eingaben'!B11)</f>
        <v/>
      </c>
      <c r="C14" s="135">
        <f>IF('1. Eingaben'!B11=0,0,C8/'1. Eingaben'!B11)</f>
        <v/>
      </c>
    </row>
    <row r="17" ht="22" customHeight="1">
      <c r="A17" s="123" t="inlineStr">
        <is>
          <t>REALISTISCHES SZENARIO – JAHRESÜBERSICHT</t>
        </is>
      </c>
      <c r="B17" s="124" t="n"/>
      <c r="C17" s="124" t="n"/>
      <c r="D17" s="124" t="n"/>
      <c r="E17" s="124" t="n"/>
      <c r="F17" s="124" t="n"/>
      <c r="G17" s="124" t="n"/>
      <c r="H17" s="125" t="n"/>
    </row>
    <row r="18">
      <c r="A18" s="18" t="inlineStr">
        <is>
          <t>Jahr</t>
        </is>
      </c>
      <c r="B18" s="18" t="inlineStr">
        <is>
          <t>Realisierter Nutzen</t>
        </is>
      </c>
      <c r="C18" s="18" t="inlineStr">
        <is>
          <t>Lizenzen</t>
        </is>
      </c>
      <c r="D18" s="18" t="inlineStr">
        <is>
          <t>Training</t>
        </is>
      </c>
      <c r="E18" s="18" t="inlineStr">
        <is>
          <t>IT-Setup</t>
        </is>
      </c>
      <c r="F18" s="18" t="inlineStr">
        <is>
          <t>Change &amp; Adoption</t>
        </is>
      </c>
      <c r="G18" s="18" t="inlineStr">
        <is>
          <t>Gesamtkosten</t>
        </is>
      </c>
      <c r="H18" s="18" t="inlineStr">
        <is>
          <t>Netto-Nutzen</t>
        </is>
      </c>
    </row>
    <row r="19">
      <c r="A19" s="20" t="n">
        <v>1</v>
      </c>
      <c r="B19" s="135">
        <f>SUMIF($B$26:$B$61,A19,$K$26:$K$61)</f>
        <v/>
      </c>
      <c r="C19" s="135">
        <f>SUMIF($B$26:$B$61,A19,$D$26:$D$61)</f>
        <v/>
      </c>
      <c r="D19" s="135">
        <f>SUMIF($B$26:$B$61,A19,$E$26:$E$61)</f>
        <v/>
      </c>
      <c r="E19" s="135">
        <f>SUMIF($B$26:$B$61,A19,$F$26:$F$61)</f>
        <v/>
      </c>
      <c r="F19" s="135">
        <f>SUMIF($B$26:$B$61,A19,$G$26:$G$61)</f>
        <v/>
      </c>
      <c r="G19" s="135">
        <f>SUMIF($B$26:$B$61,A19,$H$26:$H$61)</f>
        <v/>
      </c>
      <c r="H19" s="135">
        <f>B19-G19</f>
        <v/>
      </c>
    </row>
    <row r="20">
      <c r="A20" s="20" t="n">
        <v>2</v>
      </c>
      <c r="B20" s="135">
        <f>SUMIF($B$26:$B$61,A20,$K$26:$K$61)</f>
        <v/>
      </c>
      <c r="C20" s="135">
        <f>SUMIF($B$26:$B$61,A20,$D$26:$D$61)</f>
        <v/>
      </c>
      <c r="D20" s="135">
        <f>SUMIF($B$26:$B$61,A20,$E$26:$E$61)</f>
        <v/>
      </c>
      <c r="E20" s="135">
        <f>SUMIF($B$26:$B$61,A20,$F$26:$F$61)</f>
        <v/>
      </c>
      <c r="F20" s="135">
        <f>SUMIF($B$26:$B$61,A20,$G$26:$G$61)</f>
        <v/>
      </c>
      <c r="G20" s="135">
        <f>SUMIF($B$26:$B$61,A20,$H$26:$H$61)</f>
        <v/>
      </c>
      <c r="H20" s="135">
        <f>B20-G20</f>
        <v/>
      </c>
    </row>
    <row r="21">
      <c r="A21" s="20" t="n">
        <v>3</v>
      </c>
      <c r="B21" s="135">
        <f>SUMIF($B$26:$B$61,A21,$K$26:$K$61)</f>
        <v/>
      </c>
      <c r="C21" s="135">
        <f>SUMIF($B$26:$B$61,A21,$D$26:$D$61)</f>
        <v/>
      </c>
      <c r="D21" s="135">
        <f>SUMIF($B$26:$B$61,A21,$E$26:$E$61)</f>
        <v/>
      </c>
      <c r="E21" s="135">
        <f>SUMIF($B$26:$B$61,A21,$F$26:$F$61)</f>
        <v/>
      </c>
      <c r="F21" s="135">
        <f>SUMIF($B$26:$B$61,A21,$G$26:$G$61)</f>
        <v/>
      </c>
      <c r="G21" s="135">
        <f>SUMIF($B$26:$B$61,A21,$H$26:$H$61)</f>
        <v/>
      </c>
      <c r="H21" s="135">
        <f>B21-G21</f>
        <v/>
      </c>
    </row>
    <row r="24" ht="22" customHeight="1">
      <c r="A24" s="123" t="inlineStr">
        <is>
          <t>MONATLICHER VERLAUF UND KOSTENZEITPUNKT</t>
        </is>
      </c>
      <c r="B24" s="124" t="n"/>
      <c r="C24" s="124" t="n"/>
      <c r="D24" s="124" t="n"/>
      <c r="E24" s="124" t="n"/>
      <c r="F24" s="124" t="n"/>
      <c r="G24" s="124" t="n"/>
      <c r="H24" s="124" t="n"/>
      <c r="I24" s="124" t="n"/>
      <c r="J24" s="124" t="n"/>
      <c r="K24" s="124" t="n"/>
      <c r="L24" s="124" t="n"/>
      <c r="M24" s="124" t="n"/>
      <c r="N24" s="125" t="n"/>
    </row>
    <row r="25">
      <c r="A25" s="18" t="inlineStr">
        <is>
          <t>Monat</t>
        </is>
      </c>
      <c r="B25" s="18" t="inlineStr">
        <is>
          <t>Jahr</t>
        </is>
      </c>
      <c r="C25" s="18" t="inlineStr">
        <is>
          <t>Nutzer</t>
        </is>
      </c>
      <c r="D25" s="18" t="inlineStr">
        <is>
          <t>Lizenzen</t>
        </is>
      </c>
      <c r="E25" s="18" t="inlineStr">
        <is>
          <t>Training</t>
        </is>
      </c>
      <c r="F25" s="18" t="inlineStr">
        <is>
          <t>IT-Setup</t>
        </is>
      </c>
      <c r="G25" s="18" t="inlineStr">
        <is>
          <t>Change</t>
        </is>
      </c>
      <c r="H25" s="18" t="inlineStr">
        <is>
          <t>Kosten gesamt</t>
        </is>
      </c>
      <c r="I25" s="18" t="inlineStr">
        <is>
          <t>Zeitgewinn realistisch</t>
        </is>
      </c>
      <c r="J25" s="18" t="inlineStr">
        <is>
          <t>Zeitgewinn studiennah</t>
        </is>
      </c>
      <c r="K25" s="18" t="inlineStr">
        <is>
          <t>Nutzen realistisch</t>
        </is>
      </c>
      <c r="L25" s="18" t="inlineStr">
        <is>
          <t>Nutzen studiennah</t>
        </is>
      </c>
      <c r="M25" s="18" t="inlineStr">
        <is>
          <t>Kumuliert realistisch</t>
        </is>
      </c>
      <c r="N25" s="18" t="inlineStr">
        <is>
          <t>Kumuliert studiennah</t>
        </is>
      </c>
      <c r="Q25" s="17" t="inlineStr">
        <is>
          <t>Gesamt-Nutzer (Lizenz+Chat)</t>
        </is>
      </c>
      <c r="R25" s="17" t="inlineStr">
        <is>
          <t>davon ohne Lizenz (Chat)</t>
        </is>
      </c>
    </row>
    <row r="26">
      <c r="A26" s="137" t="n">
        <v>1</v>
      </c>
      <c r="B26" s="137">
        <f>INT((A26-1)/12)+1</f>
        <v/>
      </c>
      <c r="C26" s="137">
        <f>'1. Eingaben'!B8</f>
        <v/>
      </c>
      <c r="D26" s="135">
        <f>C26*'1. Eingaben'!B10</f>
        <v/>
      </c>
      <c r="E26" s="135">
        <f>IF(A26=1,INT((C26+'6. Quellen &amp; Methodik'!B33-1)/'6. Quellen &amp; Methodik'!B33)*('6. Quellen &amp; Methodik'!B31+'6. Quellen &amp; Methodik'!B32*'6. Quellen &amp; Methodik'!B35),IF(OR(A26=13,A26=25),INT((C26+'6. Quellen &amp; Methodik'!B33-1)/'6. Quellen &amp; Methodik'!B33)*('6. Quellen &amp; Methodik'!B31+'6. Quellen &amp; Methodik'!B32*'6. Quellen &amp; Methodik'!B35)*'6. Quellen &amp; Methodik'!B34,0))+IF(A26=1,INT((R26+'6. Quellen &amp; Methodik'!B33-1)/'6. Quellen &amp; Methodik'!B33)*'6. Quellen &amp; Methodik'!B31,0)</f>
        <v/>
      </c>
      <c r="F26" s="135">
        <f>IF(A26=1,'6. Quellen &amp; Methodik'!B16+MIN(Q26,50)*'6. Quellen &amp; Methodik'!B17+MAX(MIN(Q26-50,200),0)*'6. Quellen &amp; Methodik'!B18+MAX(MIN(Q26-250,750),0)*'6. Quellen &amp; Methodik'!B19+MAX(Q26-1000,0)*'6. Quellen &amp; Methodik'!B20,0)</f>
        <v/>
      </c>
      <c r="G26" s="135">
        <f>IF(OR(A26=1,A26=13,A26=25),'6. Quellen &amp; Methodik'!B36*(C26*'1. Eingaben'!B10*12+E26+F26),0)</f>
        <v/>
      </c>
      <c r="H26" s="135">
        <f>SUM(D26:G26)</f>
        <v/>
      </c>
      <c r="I26" s="160">
        <f>'4. Szenarien'!B6*(1-(1-'4. Szenarien'!B13)*POWER(0.5,(A26-1)/'4. Szenarien'!B14))</f>
        <v/>
      </c>
      <c r="J26" s="160">
        <f>'4. Szenarien'!B7*(1-(1-'4. Szenarien'!B13)*POWER(0.5,(A26-1)/'4. Szenarien'!B14))</f>
        <v/>
      </c>
      <c r="K26" s="135">
        <f>Q26*I26*'4. Szenarien'!D6*'1. Eingaben'!B9</f>
        <v/>
      </c>
      <c r="L26" s="135">
        <f>Q26*J26*'4. Szenarien'!D7*'1. Eingaben'!B9</f>
        <v/>
      </c>
      <c r="M26" s="135">
        <f>K26-H26</f>
        <v/>
      </c>
      <c r="N26" s="135">
        <f>L26-H26</f>
        <v/>
      </c>
      <c r="O26" s="81">
        <f>IF(M26&gt;=0,A26,99)</f>
        <v/>
      </c>
      <c r="P26" s="81">
        <f>IF(N26&gt;=0,A26,99)</f>
        <v/>
      </c>
      <c r="Q26">
        <f>'1. Eingaben'!B11</f>
        <v/>
      </c>
      <c r="R26">
        <f>MAX(Q26-C26,0)</f>
        <v/>
      </c>
    </row>
    <row r="27">
      <c r="A27" s="137" t="n">
        <v>2</v>
      </c>
      <c r="B27" s="137">
        <f>INT((A27-1)/12)+1</f>
        <v/>
      </c>
      <c r="C27" s="137">
        <f>'1. Eingaben'!B8</f>
        <v/>
      </c>
      <c r="D27" s="135">
        <f>C27*'1. Eingaben'!B10</f>
        <v/>
      </c>
      <c r="E27" s="135">
        <f>IF(A27=1,INT((C27+'6. Quellen &amp; Methodik'!B33-1)/'6. Quellen &amp; Methodik'!B33)*('6. Quellen &amp; Methodik'!B31+'6. Quellen &amp; Methodik'!B32*'6. Quellen &amp; Methodik'!B35),IF(OR(A27=13,A27=25),INT((C27+'6. Quellen &amp; Methodik'!B33-1)/'6. Quellen &amp; Methodik'!B33)*('6. Quellen &amp; Methodik'!B31+'6. Quellen &amp; Methodik'!B32*'6. Quellen &amp; Methodik'!B35)*'6. Quellen &amp; Methodik'!B34,0))+IF(A27=1,INT((R27+'6. Quellen &amp; Methodik'!B33-1)/'6. Quellen &amp; Methodik'!B33)*'6. Quellen &amp; Methodik'!B31,0)</f>
        <v/>
      </c>
      <c r="F27" s="135">
        <f>IF(A27=1,'6. Quellen &amp; Methodik'!B16+MIN(Q27,50)*'6. Quellen &amp; Methodik'!B17+MAX(MIN(Q27-50,200),0)*'6. Quellen &amp; Methodik'!B18+MAX(MIN(Q27-250,750),0)*'6. Quellen &amp; Methodik'!B19+MAX(Q27-1000,0)*'6. Quellen &amp; Methodik'!B20,0)</f>
        <v/>
      </c>
      <c r="G27" s="135">
        <f>IF(OR(A27=1,A27=13,A27=25),'6. Quellen &amp; Methodik'!B36*(C27*'1. Eingaben'!B10*12+E27+F27),0)</f>
        <v/>
      </c>
      <c r="H27" s="135">
        <f>SUM(D27:G27)</f>
        <v/>
      </c>
      <c r="I27" s="160">
        <f>'4. Szenarien'!B6*(1-(1-'4. Szenarien'!B13)*POWER(0.5,(A27-1)/'4. Szenarien'!B14))</f>
        <v/>
      </c>
      <c r="J27" s="160">
        <f>'4. Szenarien'!B7*(1-(1-'4. Szenarien'!B13)*POWER(0.5,(A27-1)/'4. Szenarien'!B14))</f>
        <v/>
      </c>
      <c r="K27" s="135">
        <f>Q27*I27*'4. Szenarien'!D6*'1. Eingaben'!B9</f>
        <v/>
      </c>
      <c r="L27" s="135">
        <f>Q27*J27*'4. Szenarien'!D7*'1. Eingaben'!B9</f>
        <v/>
      </c>
      <c r="M27" s="135">
        <f>M26+K27-H27</f>
        <v/>
      </c>
      <c r="N27" s="135">
        <f>N26+L27-H27</f>
        <v/>
      </c>
      <c r="O27" s="81">
        <f>IF(M27&gt;=0,A27,99)</f>
        <v/>
      </c>
      <c r="P27" s="81">
        <f>IF(N27&gt;=0,A27,99)</f>
        <v/>
      </c>
      <c r="Q27">
        <f>'1. Eingaben'!B11</f>
        <v/>
      </c>
      <c r="R27">
        <f>MAX(Q27-C27,0)</f>
        <v/>
      </c>
    </row>
    <row r="28">
      <c r="A28" s="137" t="n">
        <v>3</v>
      </c>
      <c r="B28" s="137">
        <f>INT((A28-1)/12)+1</f>
        <v/>
      </c>
      <c r="C28" s="137">
        <f>'1. Eingaben'!B8</f>
        <v/>
      </c>
      <c r="D28" s="135">
        <f>C28*'1. Eingaben'!B10</f>
        <v/>
      </c>
      <c r="E28" s="135">
        <f>IF(A28=1,INT((C28+'6. Quellen &amp; Methodik'!B33-1)/'6. Quellen &amp; Methodik'!B33)*('6. Quellen &amp; Methodik'!B31+'6. Quellen &amp; Methodik'!B32*'6. Quellen &amp; Methodik'!B35),IF(OR(A28=13,A28=25),INT((C28+'6. Quellen &amp; Methodik'!B33-1)/'6. Quellen &amp; Methodik'!B33)*('6. Quellen &amp; Methodik'!B31+'6. Quellen &amp; Methodik'!B32*'6. Quellen &amp; Methodik'!B35)*'6. Quellen &amp; Methodik'!B34,0))+IF(A28=1,INT((R28+'6. Quellen &amp; Methodik'!B33-1)/'6. Quellen &amp; Methodik'!B33)*'6. Quellen &amp; Methodik'!B31,0)</f>
        <v/>
      </c>
      <c r="F28" s="135">
        <f>IF(A28=1,'6. Quellen &amp; Methodik'!B16+MIN(Q28,50)*'6. Quellen &amp; Methodik'!B17+MAX(MIN(Q28-50,200),0)*'6. Quellen &amp; Methodik'!B18+MAX(MIN(Q28-250,750),0)*'6. Quellen &amp; Methodik'!B19+MAX(Q28-1000,0)*'6. Quellen &amp; Methodik'!B20,0)</f>
        <v/>
      </c>
      <c r="G28" s="135">
        <f>IF(OR(A28=1,A28=13,A28=25),'6. Quellen &amp; Methodik'!B36*(C28*'1. Eingaben'!B10*12+E28+F28),0)</f>
        <v/>
      </c>
      <c r="H28" s="135">
        <f>SUM(D28:G28)</f>
        <v/>
      </c>
      <c r="I28" s="160">
        <f>'4. Szenarien'!B6*(1-(1-'4. Szenarien'!B13)*POWER(0.5,(A28-1)/'4. Szenarien'!B14))</f>
        <v/>
      </c>
      <c r="J28" s="160">
        <f>'4. Szenarien'!B7*(1-(1-'4. Szenarien'!B13)*POWER(0.5,(A28-1)/'4. Szenarien'!B14))</f>
        <v/>
      </c>
      <c r="K28" s="135">
        <f>Q28*I28*'4. Szenarien'!D6*'1. Eingaben'!B9</f>
        <v/>
      </c>
      <c r="L28" s="135">
        <f>Q28*J28*'4. Szenarien'!D7*'1. Eingaben'!B9</f>
        <v/>
      </c>
      <c r="M28" s="135">
        <f>M27+K28-H28</f>
        <v/>
      </c>
      <c r="N28" s="135">
        <f>N27+L28-H28</f>
        <v/>
      </c>
      <c r="O28" s="81">
        <f>IF(M28&gt;=0,A28,99)</f>
        <v/>
      </c>
      <c r="P28" s="81">
        <f>IF(N28&gt;=0,A28,99)</f>
        <v/>
      </c>
      <c r="Q28">
        <f>'1. Eingaben'!B11</f>
        <v/>
      </c>
      <c r="R28">
        <f>MAX(Q28-C28,0)</f>
        <v/>
      </c>
    </row>
    <row r="29">
      <c r="A29" s="137" t="n">
        <v>4</v>
      </c>
      <c r="B29" s="137">
        <f>INT((A29-1)/12)+1</f>
        <v/>
      </c>
      <c r="C29" s="137">
        <f>'1. Eingaben'!B8</f>
        <v/>
      </c>
      <c r="D29" s="135">
        <f>C29*'1. Eingaben'!B10</f>
        <v/>
      </c>
      <c r="E29" s="135">
        <f>IF(A29=1,INT((C29+'6. Quellen &amp; Methodik'!B33-1)/'6. Quellen &amp; Methodik'!B33)*('6. Quellen &amp; Methodik'!B31+'6. Quellen &amp; Methodik'!B32*'6. Quellen &amp; Methodik'!B35),IF(OR(A29=13,A29=25),INT((C29+'6. Quellen &amp; Methodik'!B33-1)/'6. Quellen &amp; Methodik'!B33)*('6. Quellen &amp; Methodik'!B31+'6. Quellen &amp; Methodik'!B32*'6. Quellen &amp; Methodik'!B35)*'6. Quellen &amp; Methodik'!B34,0))+IF(A29=1,INT((R29+'6. Quellen &amp; Methodik'!B33-1)/'6. Quellen &amp; Methodik'!B33)*'6. Quellen &amp; Methodik'!B31,0)</f>
        <v/>
      </c>
      <c r="F29" s="135">
        <f>IF(A29=1,'6. Quellen &amp; Methodik'!B16+MIN(Q29,50)*'6. Quellen &amp; Methodik'!B17+MAX(MIN(Q29-50,200),0)*'6. Quellen &amp; Methodik'!B18+MAX(MIN(Q29-250,750),0)*'6. Quellen &amp; Methodik'!B19+MAX(Q29-1000,0)*'6. Quellen &amp; Methodik'!B20,0)</f>
        <v/>
      </c>
      <c r="G29" s="135">
        <f>IF(OR(A29=1,A29=13,A29=25),'6. Quellen &amp; Methodik'!B36*(C29*'1. Eingaben'!B10*12+E29+F29),0)</f>
        <v/>
      </c>
      <c r="H29" s="135">
        <f>SUM(D29:G29)</f>
        <v/>
      </c>
      <c r="I29" s="160">
        <f>'4. Szenarien'!B6*(1-(1-'4. Szenarien'!B13)*POWER(0.5,(A29-1)/'4. Szenarien'!B14))</f>
        <v/>
      </c>
      <c r="J29" s="160">
        <f>'4. Szenarien'!B7*(1-(1-'4. Szenarien'!B13)*POWER(0.5,(A29-1)/'4. Szenarien'!B14))</f>
        <v/>
      </c>
      <c r="K29" s="135">
        <f>Q29*I29*'4. Szenarien'!D6*'1. Eingaben'!B9</f>
        <v/>
      </c>
      <c r="L29" s="135">
        <f>Q29*J29*'4. Szenarien'!D7*'1. Eingaben'!B9</f>
        <v/>
      </c>
      <c r="M29" s="135">
        <f>M28+K29-H29</f>
        <v/>
      </c>
      <c r="N29" s="135">
        <f>N28+L29-H29</f>
        <v/>
      </c>
      <c r="O29" s="81">
        <f>IF(M29&gt;=0,A29,99)</f>
        <v/>
      </c>
      <c r="P29" s="81">
        <f>IF(N29&gt;=0,A29,99)</f>
        <v/>
      </c>
      <c r="Q29">
        <f>'1. Eingaben'!B11</f>
        <v/>
      </c>
      <c r="R29">
        <f>MAX(Q29-C29,0)</f>
        <v/>
      </c>
    </row>
    <row r="30">
      <c r="A30" s="137" t="n">
        <v>5</v>
      </c>
      <c r="B30" s="137">
        <f>INT((A30-1)/12)+1</f>
        <v/>
      </c>
      <c r="C30" s="137">
        <f>'1. Eingaben'!B8</f>
        <v/>
      </c>
      <c r="D30" s="135">
        <f>C30*'1. Eingaben'!B10</f>
        <v/>
      </c>
      <c r="E30" s="135">
        <f>IF(A30=1,INT((C30+'6. Quellen &amp; Methodik'!B33-1)/'6. Quellen &amp; Methodik'!B33)*('6. Quellen &amp; Methodik'!B31+'6. Quellen &amp; Methodik'!B32*'6. Quellen &amp; Methodik'!B35),IF(OR(A30=13,A30=25),INT((C30+'6. Quellen &amp; Methodik'!B33-1)/'6. Quellen &amp; Methodik'!B33)*('6. Quellen &amp; Methodik'!B31+'6. Quellen &amp; Methodik'!B32*'6. Quellen &amp; Methodik'!B35)*'6. Quellen &amp; Methodik'!B34,0))+IF(A30=1,INT((R30+'6. Quellen &amp; Methodik'!B33-1)/'6. Quellen &amp; Methodik'!B33)*'6. Quellen &amp; Methodik'!B31,0)</f>
        <v/>
      </c>
      <c r="F30" s="135">
        <f>IF(A30=1,'6. Quellen &amp; Methodik'!B16+MIN(Q30,50)*'6. Quellen &amp; Methodik'!B17+MAX(MIN(Q30-50,200),0)*'6. Quellen &amp; Methodik'!B18+MAX(MIN(Q30-250,750),0)*'6. Quellen &amp; Methodik'!B19+MAX(Q30-1000,0)*'6. Quellen &amp; Methodik'!B20,0)</f>
        <v/>
      </c>
      <c r="G30" s="135">
        <f>IF(OR(A30=1,A30=13,A30=25),'6. Quellen &amp; Methodik'!B36*(C30*'1. Eingaben'!B10*12+E30+F30),0)</f>
        <v/>
      </c>
      <c r="H30" s="135">
        <f>SUM(D30:G30)</f>
        <v/>
      </c>
      <c r="I30" s="160">
        <f>'4. Szenarien'!B6*(1-(1-'4. Szenarien'!B13)*POWER(0.5,(A30-1)/'4. Szenarien'!B14))</f>
        <v/>
      </c>
      <c r="J30" s="160">
        <f>'4. Szenarien'!B7*(1-(1-'4. Szenarien'!B13)*POWER(0.5,(A30-1)/'4. Szenarien'!B14))</f>
        <v/>
      </c>
      <c r="K30" s="135">
        <f>Q30*I30*'4. Szenarien'!D6*'1. Eingaben'!B9</f>
        <v/>
      </c>
      <c r="L30" s="135">
        <f>Q30*J30*'4. Szenarien'!D7*'1. Eingaben'!B9</f>
        <v/>
      </c>
      <c r="M30" s="135">
        <f>M29+K30-H30</f>
        <v/>
      </c>
      <c r="N30" s="135">
        <f>N29+L30-H30</f>
        <v/>
      </c>
      <c r="O30" s="81">
        <f>IF(M30&gt;=0,A30,99)</f>
        <v/>
      </c>
      <c r="P30" s="81">
        <f>IF(N30&gt;=0,A30,99)</f>
        <v/>
      </c>
      <c r="Q30">
        <f>'1. Eingaben'!B11</f>
        <v/>
      </c>
      <c r="R30">
        <f>MAX(Q30-C30,0)</f>
        <v/>
      </c>
    </row>
    <row r="31">
      <c r="A31" s="137" t="n">
        <v>6</v>
      </c>
      <c r="B31" s="137">
        <f>INT((A31-1)/12)+1</f>
        <v/>
      </c>
      <c r="C31" s="137">
        <f>'1. Eingaben'!B8</f>
        <v/>
      </c>
      <c r="D31" s="135">
        <f>C31*'1. Eingaben'!B10</f>
        <v/>
      </c>
      <c r="E31" s="135">
        <f>IF(A31=1,INT((C31+'6. Quellen &amp; Methodik'!B33-1)/'6. Quellen &amp; Methodik'!B33)*('6. Quellen &amp; Methodik'!B31+'6. Quellen &amp; Methodik'!B32*'6. Quellen &amp; Methodik'!B35),IF(OR(A31=13,A31=25),INT((C31+'6. Quellen &amp; Methodik'!B33-1)/'6. Quellen &amp; Methodik'!B33)*('6. Quellen &amp; Methodik'!B31+'6. Quellen &amp; Methodik'!B32*'6. Quellen &amp; Methodik'!B35)*'6. Quellen &amp; Methodik'!B34,0))+IF(A31=1,INT((R31+'6. Quellen &amp; Methodik'!B33-1)/'6. Quellen &amp; Methodik'!B33)*'6. Quellen &amp; Methodik'!B31,0)</f>
        <v/>
      </c>
      <c r="F31" s="135">
        <f>IF(A31=1,'6. Quellen &amp; Methodik'!B16+MIN(Q31,50)*'6. Quellen &amp; Methodik'!B17+MAX(MIN(Q31-50,200),0)*'6. Quellen &amp; Methodik'!B18+MAX(MIN(Q31-250,750),0)*'6. Quellen &amp; Methodik'!B19+MAX(Q31-1000,0)*'6. Quellen &amp; Methodik'!B20,0)</f>
        <v/>
      </c>
      <c r="G31" s="135">
        <f>IF(OR(A31=1,A31=13,A31=25),'6. Quellen &amp; Methodik'!B36*(C31*'1. Eingaben'!B10*12+E31+F31),0)</f>
        <v/>
      </c>
      <c r="H31" s="135">
        <f>SUM(D31:G31)</f>
        <v/>
      </c>
      <c r="I31" s="160">
        <f>'4. Szenarien'!B6*(1-(1-'4. Szenarien'!B13)*POWER(0.5,(A31-1)/'4. Szenarien'!B14))</f>
        <v/>
      </c>
      <c r="J31" s="160">
        <f>'4. Szenarien'!B7*(1-(1-'4. Szenarien'!B13)*POWER(0.5,(A31-1)/'4. Szenarien'!B14))</f>
        <v/>
      </c>
      <c r="K31" s="135">
        <f>Q31*I31*'4. Szenarien'!D6*'1. Eingaben'!B9</f>
        <v/>
      </c>
      <c r="L31" s="135">
        <f>Q31*J31*'4. Szenarien'!D7*'1. Eingaben'!B9</f>
        <v/>
      </c>
      <c r="M31" s="135">
        <f>M30+K31-H31</f>
        <v/>
      </c>
      <c r="N31" s="135">
        <f>N30+L31-H31</f>
        <v/>
      </c>
      <c r="O31" s="81">
        <f>IF(M31&gt;=0,A31,99)</f>
        <v/>
      </c>
      <c r="P31" s="81">
        <f>IF(N31&gt;=0,A31,99)</f>
        <v/>
      </c>
      <c r="Q31">
        <f>'1. Eingaben'!B11</f>
        <v/>
      </c>
      <c r="R31">
        <f>MAX(Q31-C31,0)</f>
        <v/>
      </c>
    </row>
    <row r="32">
      <c r="A32" s="137" t="n">
        <v>7</v>
      </c>
      <c r="B32" s="137">
        <f>INT((A32-1)/12)+1</f>
        <v/>
      </c>
      <c r="C32" s="137">
        <f>'1. Eingaben'!B8</f>
        <v/>
      </c>
      <c r="D32" s="135">
        <f>C32*'1. Eingaben'!B10</f>
        <v/>
      </c>
      <c r="E32" s="135">
        <f>IF(A32=1,INT((C32+'6. Quellen &amp; Methodik'!B33-1)/'6. Quellen &amp; Methodik'!B33)*('6. Quellen &amp; Methodik'!B31+'6. Quellen &amp; Methodik'!B32*'6. Quellen &amp; Methodik'!B35),IF(OR(A32=13,A32=25),INT((C32+'6. Quellen &amp; Methodik'!B33-1)/'6. Quellen &amp; Methodik'!B33)*('6. Quellen &amp; Methodik'!B31+'6. Quellen &amp; Methodik'!B32*'6. Quellen &amp; Methodik'!B35)*'6. Quellen &amp; Methodik'!B34,0))+IF(A32=1,INT((R32+'6. Quellen &amp; Methodik'!B33-1)/'6. Quellen &amp; Methodik'!B33)*'6. Quellen &amp; Methodik'!B31,0)</f>
        <v/>
      </c>
      <c r="F32" s="135">
        <f>IF(A32=1,'6. Quellen &amp; Methodik'!B16+MIN(Q32,50)*'6. Quellen &amp; Methodik'!B17+MAX(MIN(Q32-50,200),0)*'6. Quellen &amp; Methodik'!B18+MAX(MIN(Q32-250,750),0)*'6. Quellen &amp; Methodik'!B19+MAX(Q32-1000,0)*'6. Quellen &amp; Methodik'!B20,0)</f>
        <v/>
      </c>
      <c r="G32" s="135">
        <f>IF(OR(A32=1,A32=13,A32=25),'6. Quellen &amp; Methodik'!B36*(C32*'1. Eingaben'!B10*12+E32+F32),0)</f>
        <v/>
      </c>
      <c r="H32" s="135">
        <f>SUM(D32:G32)</f>
        <v/>
      </c>
      <c r="I32" s="160">
        <f>'4. Szenarien'!B6*(1-(1-'4. Szenarien'!B13)*POWER(0.5,(A32-1)/'4. Szenarien'!B14))</f>
        <v/>
      </c>
      <c r="J32" s="160">
        <f>'4. Szenarien'!B7*(1-(1-'4. Szenarien'!B13)*POWER(0.5,(A32-1)/'4. Szenarien'!B14))</f>
        <v/>
      </c>
      <c r="K32" s="135">
        <f>Q32*I32*'4. Szenarien'!D6*'1. Eingaben'!B9</f>
        <v/>
      </c>
      <c r="L32" s="135">
        <f>Q32*J32*'4. Szenarien'!D7*'1. Eingaben'!B9</f>
        <v/>
      </c>
      <c r="M32" s="135">
        <f>M31+K32-H32</f>
        <v/>
      </c>
      <c r="N32" s="135">
        <f>N31+L32-H32</f>
        <v/>
      </c>
      <c r="O32" s="81">
        <f>IF(M32&gt;=0,A32,99)</f>
        <v/>
      </c>
      <c r="P32" s="81">
        <f>IF(N32&gt;=0,A32,99)</f>
        <v/>
      </c>
      <c r="Q32">
        <f>'1. Eingaben'!B11</f>
        <v/>
      </c>
      <c r="R32">
        <f>MAX(Q32-C32,0)</f>
        <v/>
      </c>
    </row>
    <row r="33">
      <c r="A33" s="137" t="n">
        <v>8</v>
      </c>
      <c r="B33" s="137">
        <f>INT((A33-1)/12)+1</f>
        <v/>
      </c>
      <c r="C33" s="137">
        <f>'1. Eingaben'!B8</f>
        <v/>
      </c>
      <c r="D33" s="135">
        <f>C33*'1. Eingaben'!B10</f>
        <v/>
      </c>
      <c r="E33" s="135">
        <f>IF(A33=1,INT((C33+'6. Quellen &amp; Methodik'!B33-1)/'6. Quellen &amp; Methodik'!B33)*('6. Quellen &amp; Methodik'!B31+'6. Quellen &amp; Methodik'!B32*'6. Quellen &amp; Methodik'!B35),IF(OR(A33=13,A33=25),INT((C33+'6. Quellen &amp; Methodik'!B33-1)/'6. Quellen &amp; Methodik'!B33)*('6. Quellen &amp; Methodik'!B31+'6. Quellen &amp; Methodik'!B32*'6. Quellen &amp; Methodik'!B35)*'6. Quellen &amp; Methodik'!B34,0))+IF(A33=1,INT((R33+'6. Quellen &amp; Methodik'!B33-1)/'6. Quellen &amp; Methodik'!B33)*'6. Quellen &amp; Methodik'!B31,0)</f>
        <v/>
      </c>
      <c r="F33" s="135">
        <f>IF(A33=1,'6. Quellen &amp; Methodik'!B16+MIN(Q33,50)*'6. Quellen &amp; Methodik'!B17+MAX(MIN(Q33-50,200),0)*'6. Quellen &amp; Methodik'!B18+MAX(MIN(Q33-250,750),0)*'6. Quellen &amp; Methodik'!B19+MAX(Q33-1000,0)*'6. Quellen &amp; Methodik'!B20,0)</f>
        <v/>
      </c>
      <c r="G33" s="135">
        <f>IF(OR(A33=1,A33=13,A33=25),'6. Quellen &amp; Methodik'!B36*(C33*'1. Eingaben'!B10*12+E33+F33),0)</f>
        <v/>
      </c>
      <c r="H33" s="135">
        <f>SUM(D33:G33)</f>
        <v/>
      </c>
      <c r="I33" s="160">
        <f>'4. Szenarien'!B6*(1-(1-'4. Szenarien'!B13)*POWER(0.5,(A33-1)/'4. Szenarien'!B14))</f>
        <v/>
      </c>
      <c r="J33" s="160">
        <f>'4. Szenarien'!B7*(1-(1-'4. Szenarien'!B13)*POWER(0.5,(A33-1)/'4. Szenarien'!B14))</f>
        <v/>
      </c>
      <c r="K33" s="135">
        <f>Q33*I33*'4. Szenarien'!D6*'1. Eingaben'!B9</f>
        <v/>
      </c>
      <c r="L33" s="135">
        <f>Q33*J33*'4. Szenarien'!D7*'1. Eingaben'!B9</f>
        <v/>
      </c>
      <c r="M33" s="135">
        <f>M32+K33-H33</f>
        <v/>
      </c>
      <c r="N33" s="135">
        <f>N32+L33-H33</f>
        <v/>
      </c>
      <c r="O33" s="81">
        <f>IF(M33&gt;=0,A33,99)</f>
        <v/>
      </c>
      <c r="P33" s="81">
        <f>IF(N33&gt;=0,A33,99)</f>
        <v/>
      </c>
      <c r="Q33">
        <f>'1. Eingaben'!B11</f>
        <v/>
      </c>
      <c r="R33">
        <f>MAX(Q33-C33,0)</f>
        <v/>
      </c>
    </row>
    <row r="34">
      <c r="A34" s="137" t="n">
        <v>9</v>
      </c>
      <c r="B34" s="137">
        <f>INT((A34-1)/12)+1</f>
        <v/>
      </c>
      <c r="C34" s="137">
        <f>'1. Eingaben'!B8</f>
        <v/>
      </c>
      <c r="D34" s="135">
        <f>C34*'1. Eingaben'!B10</f>
        <v/>
      </c>
      <c r="E34" s="135">
        <f>IF(A34=1,INT((C34+'6. Quellen &amp; Methodik'!B33-1)/'6. Quellen &amp; Methodik'!B33)*('6. Quellen &amp; Methodik'!B31+'6. Quellen &amp; Methodik'!B32*'6. Quellen &amp; Methodik'!B35),IF(OR(A34=13,A34=25),INT((C34+'6. Quellen &amp; Methodik'!B33-1)/'6. Quellen &amp; Methodik'!B33)*('6. Quellen &amp; Methodik'!B31+'6. Quellen &amp; Methodik'!B32*'6. Quellen &amp; Methodik'!B35)*'6. Quellen &amp; Methodik'!B34,0))+IF(A34=1,INT((R34+'6. Quellen &amp; Methodik'!B33-1)/'6. Quellen &amp; Methodik'!B33)*'6. Quellen &amp; Methodik'!B31,0)</f>
        <v/>
      </c>
      <c r="F34" s="135">
        <f>IF(A34=1,'6. Quellen &amp; Methodik'!B16+MIN(Q34,50)*'6. Quellen &amp; Methodik'!B17+MAX(MIN(Q34-50,200),0)*'6. Quellen &amp; Methodik'!B18+MAX(MIN(Q34-250,750),0)*'6. Quellen &amp; Methodik'!B19+MAX(Q34-1000,0)*'6. Quellen &amp; Methodik'!B20,0)</f>
        <v/>
      </c>
      <c r="G34" s="135">
        <f>IF(OR(A34=1,A34=13,A34=25),'6. Quellen &amp; Methodik'!B36*(C34*'1. Eingaben'!B10*12+E34+F34),0)</f>
        <v/>
      </c>
      <c r="H34" s="135">
        <f>SUM(D34:G34)</f>
        <v/>
      </c>
      <c r="I34" s="160">
        <f>'4. Szenarien'!B6*(1-(1-'4. Szenarien'!B13)*POWER(0.5,(A34-1)/'4. Szenarien'!B14))</f>
        <v/>
      </c>
      <c r="J34" s="160">
        <f>'4. Szenarien'!B7*(1-(1-'4. Szenarien'!B13)*POWER(0.5,(A34-1)/'4. Szenarien'!B14))</f>
        <v/>
      </c>
      <c r="K34" s="135">
        <f>Q34*I34*'4. Szenarien'!D6*'1. Eingaben'!B9</f>
        <v/>
      </c>
      <c r="L34" s="135">
        <f>Q34*J34*'4. Szenarien'!D7*'1. Eingaben'!B9</f>
        <v/>
      </c>
      <c r="M34" s="135">
        <f>M33+K34-H34</f>
        <v/>
      </c>
      <c r="N34" s="135">
        <f>N33+L34-H34</f>
        <v/>
      </c>
      <c r="O34" s="81">
        <f>IF(M34&gt;=0,A34,99)</f>
        <v/>
      </c>
      <c r="P34" s="81">
        <f>IF(N34&gt;=0,A34,99)</f>
        <v/>
      </c>
      <c r="Q34">
        <f>'1. Eingaben'!B11</f>
        <v/>
      </c>
      <c r="R34">
        <f>MAX(Q34-C34,0)</f>
        <v/>
      </c>
    </row>
    <row r="35">
      <c r="A35" s="137" t="n">
        <v>10</v>
      </c>
      <c r="B35" s="137">
        <f>INT((A35-1)/12)+1</f>
        <v/>
      </c>
      <c r="C35" s="137">
        <f>'1. Eingaben'!B8</f>
        <v/>
      </c>
      <c r="D35" s="135">
        <f>C35*'1. Eingaben'!B10</f>
        <v/>
      </c>
      <c r="E35" s="135">
        <f>IF(A35=1,INT((C35+'6. Quellen &amp; Methodik'!B33-1)/'6. Quellen &amp; Methodik'!B33)*('6. Quellen &amp; Methodik'!B31+'6. Quellen &amp; Methodik'!B32*'6. Quellen &amp; Methodik'!B35),IF(OR(A35=13,A35=25),INT((C35+'6. Quellen &amp; Methodik'!B33-1)/'6. Quellen &amp; Methodik'!B33)*('6. Quellen &amp; Methodik'!B31+'6. Quellen &amp; Methodik'!B32*'6. Quellen &amp; Methodik'!B35)*'6. Quellen &amp; Methodik'!B34,0))+IF(A35=1,INT((R35+'6. Quellen &amp; Methodik'!B33-1)/'6. Quellen &amp; Methodik'!B33)*'6. Quellen &amp; Methodik'!B31,0)</f>
        <v/>
      </c>
      <c r="F35" s="135">
        <f>IF(A35=1,'6. Quellen &amp; Methodik'!B16+MIN(Q35,50)*'6. Quellen &amp; Methodik'!B17+MAX(MIN(Q35-50,200),0)*'6. Quellen &amp; Methodik'!B18+MAX(MIN(Q35-250,750),0)*'6. Quellen &amp; Methodik'!B19+MAX(Q35-1000,0)*'6. Quellen &amp; Methodik'!B20,0)</f>
        <v/>
      </c>
      <c r="G35" s="135">
        <f>IF(OR(A35=1,A35=13,A35=25),'6. Quellen &amp; Methodik'!B36*(C35*'1. Eingaben'!B10*12+E35+F35),0)</f>
        <v/>
      </c>
      <c r="H35" s="135">
        <f>SUM(D35:G35)</f>
        <v/>
      </c>
      <c r="I35" s="160">
        <f>'4. Szenarien'!B6*(1-(1-'4. Szenarien'!B13)*POWER(0.5,(A35-1)/'4. Szenarien'!B14))</f>
        <v/>
      </c>
      <c r="J35" s="160">
        <f>'4. Szenarien'!B7*(1-(1-'4. Szenarien'!B13)*POWER(0.5,(A35-1)/'4. Szenarien'!B14))</f>
        <v/>
      </c>
      <c r="K35" s="135">
        <f>Q35*I35*'4. Szenarien'!D6*'1. Eingaben'!B9</f>
        <v/>
      </c>
      <c r="L35" s="135">
        <f>Q35*J35*'4. Szenarien'!D7*'1. Eingaben'!B9</f>
        <v/>
      </c>
      <c r="M35" s="135">
        <f>M34+K35-H35</f>
        <v/>
      </c>
      <c r="N35" s="135">
        <f>N34+L35-H35</f>
        <v/>
      </c>
      <c r="O35" s="81">
        <f>IF(M35&gt;=0,A35,99)</f>
        <v/>
      </c>
      <c r="P35" s="81">
        <f>IF(N35&gt;=0,A35,99)</f>
        <v/>
      </c>
      <c r="Q35">
        <f>'1. Eingaben'!B11</f>
        <v/>
      </c>
      <c r="R35">
        <f>MAX(Q35-C35,0)</f>
        <v/>
      </c>
    </row>
    <row r="36">
      <c r="A36" s="137" t="n">
        <v>11</v>
      </c>
      <c r="B36" s="137">
        <f>INT((A36-1)/12)+1</f>
        <v/>
      </c>
      <c r="C36" s="137">
        <f>'1. Eingaben'!B8</f>
        <v/>
      </c>
      <c r="D36" s="135">
        <f>C36*'1. Eingaben'!B10</f>
        <v/>
      </c>
      <c r="E36" s="135">
        <f>IF(A36=1,INT((C36+'6. Quellen &amp; Methodik'!B33-1)/'6. Quellen &amp; Methodik'!B33)*('6. Quellen &amp; Methodik'!B31+'6. Quellen &amp; Methodik'!B32*'6. Quellen &amp; Methodik'!B35),IF(OR(A36=13,A36=25),INT((C36+'6. Quellen &amp; Methodik'!B33-1)/'6. Quellen &amp; Methodik'!B33)*('6. Quellen &amp; Methodik'!B31+'6. Quellen &amp; Methodik'!B32*'6. Quellen &amp; Methodik'!B35)*'6. Quellen &amp; Methodik'!B34,0))+IF(A36=1,INT((R36+'6. Quellen &amp; Methodik'!B33-1)/'6. Quellen &amp; Methodik'!B33)*'6. Quellen &amp; Methodik'!B31,0)</f>
        <v/>
      </c>
      <c r="F36" s="135">
        <f>IF(A36=1,'6. Quellen &amp; Methodik'!B16+MIN(Q36,50)*'6. Quellen &amp; Methodik'!B17+MAX(MIN(Q36-50,200),0)*'6. Quellen &amp; Methodik'!B18+MAX(MIN(Q36-250,750),0)*'6. Quellen &amp; Methodik'!B19+MAX(Q36-1000,0)*'6. Quellen &amp; Methodik'!B20,0)</f>
        <v/>
      </c>
      <c r="G36" s="135">
        <f>IF(OR(A36=1,A36=13,A36=25),'6. Quellen &amp; Methodik'!B36*(C36*'1. Eingaben'!B10*12+E36+F36),0)</f>
        <v/>
      </c>
      <c r="H36" s="135">
        <f>SUM(D36:G36)</f>
        <v/>
      </c>
      <c r="I36" s="160">
        <f>'4. Szenarien'!B6*(1-(1-'4. Szenarien'!B13)*POWER(0.5,(A36-1)/'4. Szenarien'!B14))</f>
        <v/>
      </c>
      <c r="J36" s="160">
        <f>'4. Szenarien'!B7*(1-(1-'4. Szenarien'!B13)*POWER(0.5,(A36-1)/'4. Szenarien'!B14))</f>
        <v/>
      </c>
      <c r="K36" s="135">
        <f>Q36*I36*'4. Szenarien'!D6*'1. Eingaben'!B9</f>
        <v/>
      </c>
      <c r="L36" s="135">
        <f>Q36*J36*'4. Szenarien'!D7*'1. Eingaben'!B9</f>
        <v/>
      </c>
      <c r="M36" s="135">
        <f>M35+K36-H36</f>
        <v/>
      </c>
      <c r="N36" s="135">
        <f>N35+L36-H36</f>
        <v/>
      </c>
      <c r="O36" s="81">
        <f>IF(M36&gt;=0,A36,99)</f>
        <v/>
      </c>
      <c r="P36" s="81">
        <f>IF(N36&gt;=0,A36,99)</f>
        <v/>
      </c>
      <c r="Q36">
        <f>'1. Eingaben'!B11</f>
        <v/>
      </c>
      <c r="R36">
        <f>MAX(Q36-C36,0)</f>
        <v/>
      </c>
    </row>
    <row r="37">
      <c r="A37" s="137" t="n">
        <v>12</v>
      </c>
      <c r="B37" s="137">
        <f>INT((A37-1)/12)+1</f>
        <v/>
      </c>
      <c r="C37" s="137">
        <f>'1. Eingaben'!B8</f>
        <v/>
      </c>
      <c r="D37" s="135">
        <f>C37*'1. Eingaben'!B10</f>
        <v/>
      </c>
      <c r="E37" s="135">
        <f>IF(A37=1,INT((C37+'6. Quellen &amp; Methodik'!B33-1)/'6. Quellen &amp; Methodik'!B33)*('6. Quellen &amp; Methodik'!B31+'6. Quellen &amp; Methodik'!B32*'6. Quellen &amp; Methodik'!B35),IF(OR(A37=13,A37=25),INT((C37+'6. Quellen &amp; Methodik'!B33-1)/'6. Quellen &amp; Methodik'!B33)*('6. Quellen &amp; Methodik'!B31+'6. Quellen &amp; Methodik'!B32*'6. Quellen &amp; Methodik'!B35)*'6. Quellen &amp; Methodik'!B34,0))+IF(A37=1,INT((R37+'6. Quellen &amp; Methodik'!B33-1)/'6. Quellen &amp; Methodik'!B33)*'6. Quellen &amp; Methodik'!B31,0)</f>
        <v/>
      </c>
      <c r="F37" s="135">
        <f>IF(A37=1,'6. Quellen &amp; Methodik'!B16+MIN(Q37,50)*'6. Quellen &amp; Methodik'!B17+MAX(MIN(Q37-50,200),0)*'6. Quellen &amp; Methodik'!B18+MAX(MIN(Q37-250,750),0)*'6. Quellen &amp; Methodik'!B19+MAX(Q37-1000,0)*'6. Quellen &amp; Methodik'!B20,0)</f>
        <v/>
      </c>
      <c r="G37" s="135">
        <f>IF(OR(A37=1,A37=13,A37=25),'6. Quellen &amp; Methodik'!B36*(C37*'1. Eingaben'!B10*12+E37+F37),0)</f>
        <v/>
      </c>
      <c r="H37" s="135">
        <f>SUM(D37:G37)</f>
        <v/>
      </c>
      <c r="I37" s="160">
        <f>'4. Szenarien'!B6*(1-(1-'4. Szenarien'!B13)*POWER(0.5,(A37-1)/'4. Szenarien'!B14))</f>
        <v/>
      </c>
      <c r="J37" s="160">
        <f>'4. Szenarien'!B7*(1-(1-'4. Szenarien'!B13)*POWER(0.5,(A37-1)/'4. Szenarien'!B14))</f>
        <v/>
      </c>
      <c r="K37" s="135">
        <f>Q37*I37*'4. Szenarien'!D6*'1. Eingaben'!B9</f>
        <v/>
      </c>
      <c r="L37" s="135">
        <f>Q37*J37*'4. Szenarien'!D7*'1. Eingaben'!B9</f>
        <v/>
      </c>
      <c r="M37" s="135">
        <f>M36+K37-H37</f>
        <v/>
      </c>
      <c r="N37" s="135">
        <f>N36+L37-H37</f>
        <v/>
      </c>
      <c r="O37" s="81">
        <f>IF(M37&gt;=0,A37,99)</f>
        <v/>
      </c>
      <c r="P37" s="81">
        <f>IF(N37&gt;=0,A37,99)</f>
        <v/>
      </c>
      <c r="Q37">
        <f>'1. Eingaben'!B11</f>
        <v/>
      </c>
      <c r="R37">
        <f>MAX(Q37-C37,0)</f>
        <v/>
      </c>
    </row>
    <row r="38">
      <c r="A38" s="137" t="n">
        <v>13</v>
      </c>
      <c r="B38" s="137">
        <f>INT((A38-1)/12)+1</f>
        <v/>
      </c>
      <c r="C38" s="137">
        <f>'1. Eingaben'!B8</f>
        <v/>
      </c>
      <c r="D38" s="135">
        <f>C38*'1. Eingaben'!B10</f>
        <v/>
      </c>
      <c r="E38" s="135">
        <f>IF(A38=1,INT((C38+'6. Quellen &amp; Methodik'!B33-1)/'6. Quellen &amp; Methodik'!B33)*('6. Quellen &amp; Methodik'!B31+'6. Quellen &amp; Methodik'!B32*'6. Quellen &amp; Methodik'!B35),IF(OR(A38=13,A38=25),INT((C38+'6. Quellen &amp; Methodik'!B33-1)/'6. Quellen &amp; Methodik'!B33)*('6. Quellen &amp; Methodik'!B31+'6. Quellen &amp; Methodik'!B32*'6. Quellen &amp; Methodik'!B35)*'6. Quellen &amp; Methodik'!B34,0))+IF(A38=1,INT((R38+'6. Quellen &amp; Methodik'!B33-1)/'6. Quellen &amp; Methodik'!B33)*'6. Quellen &amp; Methodik'!B31,0)</f>
        <v/>
      </c>
      <c r="F38" s="135">
        <f>IF(A38=1,'6. Quellen &amp; Methodik'!B16+MIN(Q38,50)*'6. Quellen &amp; Methodik'!B17+MAX(MIN(Q38-50,200),0)*'6. Quellen &amp; Methodik'!B18+MAX(MIN(Q38-250,750),0)*'6. Quellen &amp; Methodik'!B19+MAX(Q38-1000,0)*'6. Quellen &amp; Methodik'!B20,0)</f>
        <v/>
      </c>
      <c r="G38" s="135">
        <f>IF(OR(A38=1,A38=13,A38=25),'6. Quellen &amp; Methodik'!B36*(C38*'1. Eingaben'!B10*12+E38+F38),0)</f>
        <v/>
      </c>
      <c r="H38" s="135">
        <f>SUM(D38:G38)</f>
        <v/>
      </c>
      <c r="I38" s="160">
        <f>'4. Szenarien'!B6*(1-(1-'4. Szenarien'!B13)*POWER(0.5,(A38-1)/'4. Szenarien'!B14))</f>
        <v/>
      </c>
      <c r="J38" s="160">
        <f>'4. Szenarien'!B7*(1-(1-'4. Szenarien'!B13)*POWER(0.5,(A38-1)/'4. Szenarien'!B14))</f>
        <v/>
      </c>
      <c r="K38" s="135">
        <f>Q38*I38*'4. Szenarien'!D6*'1. Eingaben'!B9</f>
        <v/>
      </c>
      <c r="L38" s="135">
        <f>Q38*J38*'4. Szenarien'!D7*'1. Eingaben'!B9</f>
        <v/>
      </c>
      <c r="M38" s="135">
        <f>M37+K38-H38</f>
        <v/>
      </c>
      <c r="N38" s="135">
        <f>N37+L38-H38</f>
        <v/>
      </c>
      <c r="O38" s="81">
        <f>IF(M38&gt;=0,A38,99)</f>
        <v/>
      </c>
      <c r="P38" s="81">
        <f>IF(N38&gt;=0,A38,99)</f>
        <v/>
      </c>
      <c r="Q38">
        <f>'1. Eingaben'!B11</f>
        <v/>
      </c>
      <c r="R38">
        <f>MAX(Q38-C38,0)</f>
        <v/>
      </c>
    </row>
    <row r="39">
      <c r="A39" s="137" t="n">
        <v>14</v>
      </c>
      <c r="B39" s="137">
        <f>INT((A39-1)/12)+1</f>
        <v/>
      </c>
      <c r="C39" s="137">
        <f>'1. Eingaben'!B8</f>
        <v/>
      </c>
      <c r="D39" s="135">
        <f>C39*'1. Eingaben'!B10</f>
        <v/>
      </c>
      <c r="E39" s="135">
        <f>IF(A39=1,INT((C39+'6. Quellen &amp; Methodik'!B33-1)/'6. Quellen &amp; Methodik'!B33)*('6. Quellen &amp; Methodik'!B31+'6. Quellen &amp; Methodik'!B32*'6. Quellen &amp; Methodik'!B35),IF(OR(A39=13,A39=25),INT((C39+'6. Quellen &amp; Methodik'!B33-1)/'6. Quellen &amp; Methodik'!B33)*('6. Quellen &amp; Methodik'!B31+'6. Quellen &amp; Methodik'!B32*'6. Quellen &amp; Methodik'!B35)*'6. Quellen &amp; Methodik'!B34,0))+IF(A39=1,INT((R39+'6. Quellen &amp; Methodik'!B33-1)/'6. Quellen &amp; Methodik'!B33)*'6. Quellen &amp; Methodik'!B31,0)</f>
        <v/>
      </c>
      <c r="F39" s="135">
        <f>IF(A39=1,'6. Quellen &amp; Methodik'!B16+MIN(Q39,50)*'6. Quellen &amp; Methodik'!B17+MAX(MIN(Q39-50,200),0)*'6. Quellen &amp; Methodik'!B18+MAX(MIN(Q39-250,750),0)*'6. Quellen &amp; Methodik'!B19+MAX(Q39-1000,0)*'6. Quellen &amp; Methodik'!B20,0)</f>
        <v/>
      </c>
      <c r="G39" s="135">
        <f>IF(OR(A39=1,A39=13,A39=25),'6. Quellen &amp; Methodik'!B36*(C39*'1. Eingaben'!B10*12+E39+F39),0)</f>
        <v/>
      </c>
      <c r="H39" s="135">
        <f>SUM(D39:G39)</f>
        <v/>
      </c>
      <c r="I39" s="160">
        <f>'4. Szenarien'!B6*(1-(1-'4. Szenarien'!B13)*POWER(0.5,(A39-1)/'4. Szenarien'!B14))</f>
        <v/>
      </c>
      <c r="J39" s="160">
        <f>'4. Szenarien'!B7*(1-(1-'4. Szenarien'!B13)*POWER(0.5,(A39-1)/'4. Szenarien'!B14))</f>
        <v/>
      </c>
      <c r="K39" s="135">
        <f>Q39*I39*'4. Szenarien'!D6*'1. Eingaben'!B9</f>
        <v/>
      </c>
      <c r="L39" s="135">
        <f>Q39*J39*'4. Szenarien'!D7*'1. Eingaben'!B9</f>
        <v/>
      </c>
      <c r="M39" s="135">
        <f>M38+K39-H39</f>
        <v/>
      </c>
      <c r="N39" s="135">
        <f>N38+L39-H39</f>
        <v/>
      </c>
      <c r="O39" s="81">
        <f>IF(M39&gt;=0,A39,99)</f>
        <v/>
      </c>
      <c r="P39" s="81">
        <f>IF(N39&gt;=0,A39,99)</f>
        <v/>
      </c>
      <c r="Q39">
        <f>'1. Eingaben'!B11</f>
        <v/>
      </c>
      <c r="R39">
        <f>MAX(Q39-C39,0)</f>
        <v/>
      </c>
    </row>
    <row r="40">
      <c r="A40" s="137" t="n">
        <v>15</v>
      </c>
      <c r="B40" s="137">
        <f>INT((A40-1)/12)+1</f>
        <v/>
      </c>
      <c r="C40" s="137">
        <f>'1. Eingaben'!B8</f>
        <v/>
      </c>
      <c r="D40" s="135">
        <f>C40*'1. Eingaben'!B10</f>
        <v/>
      </c>
      <c r="E40" s="135">
        <f>IF(A40=1,INT((C40+'6. Quellen &amp; Methodik'!B33-1)/'6. Quellen &amp; Methodik'!B33)*('6. Quellen &amp; Methodik'!B31+'6. Quellen &amp; Methodik'!B32*'6. Quellen &amp; Methodik'!B35),IF(OR(A40=13,A40=25),INT((C40+'6. Quellen &amp; Methodik'!B33-1)/'6. Quellen &amp; Methodik'!B33)*('6. Quellen &amp; Methodik'!B31+'6. Quellen &amp; Methodik'!B32*'6. Quellen &amp; Methodik'!B35)*'6. Quellen &amp; Methodik'!B34,0))+IF(A40=1,INT((R40+'6. Quellen &amp; Methodik'!B33-1)/'6. Quellen &amp; Methodik'!B33)*'6. Quellen &amp; Methodik'!B31,0)</f>
        <v/>
      </c>
      <c r="F40" s="135">
        <f>IF(A40=1,'6. Quellen &amp; Methodik'!B16+MIN(Q40,50)*'6. Quellen &amp; Methodik'!B17+MAX(MIN(Q40-50,200),0)*'6. Quellen &amp; Methodik'!B18+MAX(MIN(Q40-250,750),0)*'6. Quellen &amp; Methodik'!B19+MAX(Q40-1000,0)*'6. Quellen &amp; Methodik'!B20,0)</f>
        <v/>
      </c>
      <c r="G40" s="135">
        <f>IF(OR(A40=1,A40=13,A40=25),'6. Quellen &amp; Methodik'!B36*(C40*'1. Eingaben'!B10*12+E40+F40),0)</f>
        <v/>
      </c>
      <c r="H40" s="135">
        <f>SUM(D40:G40)</f>
        <v/>
      </c>
      <c r="I40" s="160">
        <f>'4. Szenarien'!B6*(1-(1-'4. Szenarien'!B13)*POWER(0.5,(A40-1)/'4. Szenarien'!B14))</f>
        <v/>
      </c>
      <c r="J40" s="160">
        <f>'4. Szenarien'!B7*(1-(1-'4. Szenarien'!B13)*POWER(0.5,(A40-1)/'4. Szenarien'!B14))</f>
        <v/>
      </c>
      <c r="K40" s="135">
        <f>Q40*I40*'4. Szenarien'!D6*'1. Eingaben'!B9</f>
        <v/>
      </c>
      <c r="L40" s="135">
        <f>Q40*J40*'4. Szenarien'!D7*'1. Eingaben'!B9</f>
        <v/>
      </c>
      <c r="M40" s="135">
        <f>M39+K40-H40</f>
        <v/>
      </c>
      <c r="N40" s="135">
        <f>N39+L40-H40</f>
        <v/>
      </c>
      <c r="O40" s="81">
        <f>IF(M40&gt;=0,A40,99)</f>
        <v/>
      </c>
      <c r="P40" s="81">
        <f>IF(N40&gt;=0,A40,99)</f>
        <v/>
      </c>
      <c r="Q40">
        <f>'1. Eingaben'!B11</f>
        <v/>
      </c>
      <c r="R40">
        <f>MAX(Q40-C40,0)</f>
        <v/>
      </c>
    </row>
    <row r="41">
      <c r="A41" s="137" t="n">
        <v>16</v>
      </c>
      <c r="B41" s="137">
        <f>INT((A41-1)/12)+1</f>
        <v/>
      </c>
      <c r="C41" s="137">
        <f>'1. Eingaben'!B8</f>
        <v/>
      </c>
      <c r="D41" s="135">
        <f>C41*'1. Eingaben'!B10</f>
        <v/>
      </c>
      <c r="E41" s="135">
        <f>IF(A41=1,INT((C41+'6. Quellen &amp; Methodik'!B33-1)/'6. Quellen &amp; Methodik'!B33)*('6. Quellen &amp; Methodik'!B31+'6. Quellen &amp; Methodik'!B32*'6. Quellen &amp; Methodik'!B35),IF(OR(A41=13,A41=25),INT((C41+'6. Quellen &amp; Methodik'!B33-1)/'6. Quellen &amp; Methodik'!B33)*('6. Quellen &amp; Methodik'!B31+'6. Quellen &amp; Methodik'!B32*'6. Quellen &amp; Methodik'!B35)*'6. Quellen &amp; Methodik'!B34,0))+IF(A41=1,INT((R41+'6. Quellen &amp; Methodik'!B33-1)/'6. Quellen &amp; Methodik'!B33)*'6. Quellen &amp; Methodik'!B31,0)</f>
        <v/>
      </c>
      <c r="F41" s="135">
        <f>IF(A41=1,'6. Quellen &amp; Methodik'!B16+MIN(Q41,50)*'6. Quellen &amp; Methodik'!B17+MAX(MIN(Q41-50,200),0)*'6. Quellen &amp; Methodik'!B18+MAX(MIN(Q41-250,750),0)*'6. Quellen &amp; Methodik'!B19+MAX(Q41-1000,0)*'6. Quellen &amp; Methodik'!B20,0)</f>
        <v/>
      </c>
      <c r="G41" s="135">
        <f>IF(OR(A41=1,A41=13,A41=25),'6. Quellen &amp; Methodik'!B36*(C41*'1. Eingaben'!B10*12+E41+F41),0)</f>
        <v/>
      </c>
      <c r="H41" s="135">
        <f>SUM(D41:G41)</f>
        <v/>
      </c>
      <c r="I41" s="160">
        <f>'4. Szenarien'!B6*(1-(1-'4. Szenarien'!B13)*POWER(0.5,(A41-1)/'4. Szenarien'!B14))</f>
        <v/>
      </c>
      <c r="J41" s="160">
        <f>'4. Szenarien'!B7*(1-(1-'4. Szenarien'!B13)*POWER(0.5,(A41-1)/'4. Szenarien'!B14))</f>
        <v/>
      </c>
      <c r="K41" s="135">
        <f>Q41*I41*'4. Szenarien'!D6*'1. Eingaben'!B9</f>
        <v/>
      </c>
      <c r="L41" s="135">
        <f>Q41*J41*'4. Szenarien'!D7*'1. Eingaben'!B9</f>
        <v/>
      </c>
      <c r="M41" s="135">
        <f>M40+K41-H41</f>
        <v/>
      </c>
      <c r="N41" s="135">
        <f>N40+L41-H41</f>
        <v/>
      </c>
      <c r="O41" s="81">
        <f>IF(M41&gt;=0,A41,99)</f>
        <v/>
      </c>
      <c r="P41" s="81">
        <f>IF(N41&gt;=0,A41,99)</f>
        <v/>
      </c>
      <c r="Q41">
        <f>'1. Eingaben'!B11</f>
        <v/>
      </c>
      <c r="R41">
        <f>MAX(Q41-C41,0)</f>
        <v/>
      </c>
    </row>
    <row r="42">
      <c r="A42" s="137" t="n">
        <v>17</v>
      </c>
      <c r="B42" s="137">
        <f>INT((A42-1)/12)+1</f>
        <v/>
      </c>
      <c r="C42" s="137">
        <f>'1. Eingaben'!B8</f>
        <v/>
      </c>
      <c r="D42" s="135">
        <f>C42*'1. Eingaben'!B10</f>
        <v/>
      </c>
      <c r="E42" s="135">
        <f>IF(A42=1,INT((C42+'6. Quellen &amp; Methodik'!B33-1)/'6. Quellen &amp; Methodik'!B33)*('6. Quellen &amp; Methodik'!B31+'6. Quellen &amp; Methodik'!B32*'6. Quellen &amp; Methodik'!B35),IF(OR(A42=13,A42=25),INT((C42+'6. Quellen &amp; Methodik'!B33-1)/'6. Quellen &amp; Methodik'!B33)*('6. Quellen &amp; Methodik'!B31+'6. Quellen &amp; Methodik'!B32*'6. Quellen &amp; Methodik'!B35)*'6. Quellen &amp; Methodik'!B34,0))+IF(A42=1,INT((R42+'6. Quellen &amp; Methodik'!B33-1)/'6. Quellen &amp; Methodik'!B33)*'6. Quellen &amp; Methodik'!B31,0)</f>
        <v/>
      </c>
      <c r="F42" s="135">
        <f>IF(A42=1,'6. Quellen &amp; Methodik'!B16+MIN(Q42,50)*'6. Quellen &amp; Methodik'!B17+MAX(MIN(Q42-50,200),0)*'6. Quellen &amp; Methodik'!B18+MAX(MIN(Q42-250,750),0)*'6. Quellen &amp; Methodik'!B19+MAX(Q42-1000,0)*'6. Quellen &amp; Methodik'!B20,0)</f>
        <v/>
      </c>
      <c r="G42" s="135">
        <f>IF(OR(A42=1,A42=13,A42=25),'6. Quellen &amp; Methodik'!B36*(C42*'1. Eingaben'!B10*12+E42+F42),0)</f>
        <v/>
      </c>
      <c r="H42" s="135">
        <f>SUM(D42:G42)</f>
        <v/>
      </c>
      <c r="I42" s="160">
        <f>'4. Szenarien'!B6*(1-(1-'4. Szenarien'!B13)*POWER(0.5,(A42-1)/'4. Szenarien'!B14))</f>
        <v/>
      </c>
      <c r="J42" s="160">
        <f>'4. Szenarien'!B7*(1-(1-'4. Szenarien'!B13)*POWER(0.5,(A42-1)/'4. Szenarien'!B14))</f>
        <v/>
      </c>
      <c r="K42" s="135">
        <f>Q42*I42*'4. Szenarien'!D6*'1. Eingaben'!B9</f>
        <v/>
      </c>
      <c r="L42" s="135">
        <f>Q42*J42*'4. Szenarien'!D7*'1. Eingaben'!B9</f>
        <v/>
      </c>
      <c r="M42" s="135">
        <f>M41+K42-H42</f>
        <v/>
      </c>
      <c r="N42" s="135">
        <f>N41+L42-H42</f>
        <v/>
      </c>
      <c r="O42" s="81">
        <f>IF(M42&gt;=0,A42,99)</f>
        <v/>
      </c>
      <c r="P42" s="81">
        <f>IF(N42&gt;=0,A42,99)</f>
        <v/>
      </c>
      <c r="Q42">
        <f>'1. Eingaben'!B11</f>
        <v/>
      </c>
      <c r="R42">
        <f>MAX(Q42-C42,0)</f>
        <v/>
      </c>
    </row>
    <row r="43">
      <c r="A43" s="137" t="n">
        <v>18</v>
      </c>
      <c r="B43" s="137">
        <f>INT((A43-1)/12)+1</f>
        <v/>
      </c>
      <c r="C43" s="137">
        <f>'1. Eingaben'!B8</f>
        <v/>
      </c>
      <c r="D43" s="135">
        <f>C43*'1. Eingaben'!B10</f>
        <v/>
      </c>
      <c r="E43" s="135">
        <f>IF(A43=1,INT((C43+'6. Quellen &amp; Methodik'!B33-1)/'6. Quellen &amp; Methodik'!B33)*('6. Quellen &amp; Methodik'!B31+'6. Quellen &amp; Methodik'!B32*'6. Quellen &amp; Methodik'!B35),IF(OR(A43=13,A43=25),INT((C43+'6. Quellen &amp; Methodik'!B33-1)/'6. Quellen &amp; Methodik'!B33)*('6. Quellen &amp; Methodik'!B31+'6. Quellen &amp; Methodik'!B32*'6. Quellen &amp; Methodik'!B35)*'6. Quellen &amp; Methodik'!B34,0))+IF(A43=1,INT((R43+'6. Quellen &amp; Methodik'!B33-1)/'6. Quellen &amp; Methodik'!B33)*'6. Quellen &amp; Methodik'!B31,0)</f>
        <v/>
      </c>
      <c r="F43" s="135">
        <f>IF(A43=1,'6. Quellen &amp; Methodik'!B16+MIN(Q43,50)*'6. Quellen &amp; Methodik'!B17+MAX(MIN(Q43-50,200),0)*'6. Quellen &amp; Methodik'!B18+MAX(MIN(Q43-250,750),0)*'6. Quellen &amp; Methodik'!B19+MAX(Q43-1000,0)*'6. Quellen &amp; Methodik'!B20,0)</f>
        <v/>
      </c>
      <c r="G43" s="135">
        <f>IF(OR(A43=1,A43=13,A43=25),'6. Quellen &amp; Methodik'!B36*(C43*'1. Eingaben'!B10*12+E43+F43),0)</f>
        <v/>
      </c>
      <c r="H43" s="135">
        <f>SUM(D43:G43)</f>
        <v/>
      </c>
      <c r="I43" s="160">
        <f>'4. Szenarien'!B6*(1-(1-'4. Szenarien'!B13)*POWER(0.5,(A43-1)/'4. Szenarien'!B14))</f>
        <v/>
      </c>
      <c r="J43" s="160">
        <f>'4. Szenarien'!B7*(1-(1-'4. Szenarien'!B13)*POWER(0.5,(A43-1)/'4. Szenarien'!B14))</f>
        <v/>
      </c>
      <c r="K43" s="135">
        <f>Q43*I43*'4. Szenarien'!D6*'1. Eingaben'!B9</f>
        <v/>
      </c>
      <c r="L43" s="135">
        <f>Q43*J43*'4. Szenarien'!D7*'1. Eingaben'!B9</f>
        <v/>
      </c>
      <c r="M43" s="135">
        <f>M42+K43-H43</f>
        <v/>
      </c>
      <c r="N43" s="135">
        <f>N42+L43-H43</f>
        <v/>
      </c>
      <c r="O43" s="81">
        <f>IF(M43&gt;=0,A43,99)</f>
        <v/>
      </c>
      <c r="P43" s="81">
        <f>IF(N43&gt;=0,A43,99)</f>
        <v/>
      </c>
      <c r="Q43">
        <f>'1. Eingaben'!B11</f>
        <v/>
      </c>
      <c r="R43">
        <f>MAX(Q43-C43,0)</f>
        <v/>
      </c>
    </row>
    <row r="44">
      <c r="A44" s="137" t="n">
        <v>19</v>
      </c>
      <c r="B44" s="137">
        <f>INT((A44-1)/12)+1</f>
        <v/>
      </c>
      <c r="C44" s="137">
        <f>'1. Eingaben'!B8</f>
        <v/>
      </c>
      <c r="D44" s="135">
        <f>C44*'1. Eingaben'!B10</f>
        <v/>
      </c>
      <c r="E44" s="135">
        <f>IF(A44=1,INT((C44+'6. Quellen &amp; Methodik'!B33-1)/'6. Quellen &amp; Methodik'!B33)*('6. Quellen &amp; Methodik'!B31+'6. Quellen &amp; Methodik'!B32*'6. Quellen &amp; Methodik'!B35),IF(OR(A44=13,A44=25),INT((C44+'6. Quellen &amp; Methodik'!B33-1)/'6. Quellen &amp; Methodik'!B33)*('6. Quellen &amp; Methodik'!B31+'6. Quellen &amp; Methodik'!B32*'6. Quellen &amp; Methodik'!B35)*'6. Quellen &amp; Methodik'!B34,0))+IF(A44=1,INT((R44+'6. Quellen &amp; Methodik'!B33-1)/'6. Quellen &amp; Methodik'!B33)*'6. Quellen &amp; Methodik'!B31,0)</f>
        <v/>
      </c>
      <c r="F44" s="135">
        <f>IF(A44=1,'6. Quellen &amp; Methodik'!B16+MIN(Q44,50)*'6. Quellen &amp; Methodik'!B17+MAX(MIN(Q44-50,200),0)*'6. Quellen &amp; Methodik'!B18+MAX(MIN(Q44-250,750),0)*'6. Quellen &amp; Methodik'!B19+MAX(Q44-1000,0)*'6. Quellen &amp; Methodik'!B20,0)</f>
        <v/>
      </c>
      <c r="G44" s="135">
        <f>IF(OR(A44=1,A44=13,A44=25),'6. Quellen &amp; Methodik'!B36*(C44*'1. Eingaben'!B10*12+E44+F44),0)</f>
        <v/>
      </c>
      <c r="H44" s="135">
        <f>SUM(D44:G44)</f>
        <v/>
      </c>
      <c r="I44" s="160">
        <f>'4. Szenarien'!B6*(1-(1-'4. Szenarien'!B13)*POWER(0.5,(A44-1)/'4. Szenarien'!B14))</f>
        <v/>
      </c>
      <c r="J44" s="160">
        <f>'4. Szenarien'!B7*(1-(1-'4. Szenarien'!B13)*POWER(0.5,(A44-1)/'4. Szenarien'!B14))</f>
        <v/>
      </c>
      <c r="K44" s="135">
        <f>Q44*I44*'4. Szenarien'!D6*'1. Eingaben'!B9</f>
        <v/>
      </c>
      <c r="L44" s="135">
        <f>Q44*J44*'4. Szenarien'!D7*'1. Eingaben'!B9</f>
        <v/>
      </c>
      <c r="M44" s="135">
        <f>M43+K44-H44</f>
        <v/>
      </c>
      <c r="N44" s="135">
        <f>N43+L44-H44</f>
        <v/>
      </c>
      <c r="O44" s="81">
        <f>IF(M44&gt;=0,A44,99)</f>
        <v/>
      </c>
      <c r="P44" s="81">
        <f>IF(N44&gt;=0,A44,99)</f>
        <v/>
      </c>
      <c r="Q44">
        <f>'1. Eingaben'!B11</f>
        <v/>
      </c>
      <c r="R44">
        <f>MAX(Q44-C44,0)</f>
        <v/>
      </c>
    </row>
    <row r="45">
      <c r="A45" s="137" t="n">
        <v>20</v>
      </c>
      <c r="B45" s="137">
        <f>INT((A45-1)/12)+1</f>
        <v/>
      </c>
      <c r="C45" s="137">
        <f>'1. Eingaben'!B8</f>
        <v/>
      </c>
      <c r="D45" s="135">
        <f>C45*'1. Eingaben'!B10</f>
        <v/>
      </c>
      <c r="E45" s="135">
        <f>IF(A45=1,INT((C45+'6. Quellen &amp; Methodik'!B33-1)/'6. Quellen &amp; Methodik'!B33)*('6. Quellen &amp; Methodik'!B31+'6. Quellen &amp; Methodik'!B32*'6. Quellen &amp; Methodik'!B35),IF(OR(A45=13,A45=25),INT((C45+'6. Quellen &amp; Methodik'!B33-1)/'6. Quellen &amp; Methodik'!B33)*('6. Quellen &amp; Methodik'!B31+'6. Quellen &amp; Methodik'!B32*'6. Quellen &amp; Methodik'!B35)*'6. Quellen &amp; Methodik'!B34,0))+IF(A45=1,INT((R45+'6. Quellen &amp; Methodik'!B33-1)/'6. Quellen &amp; Methodik'!B33)*'6. Quellen &amp; Methodik'!B31,0)</f>
        <v/>
      </c>
      <c r="F45" s="135">
        <f>IF(A45=1,'6. Quellen &amp; Methodik'!B16+MIN(Q45,50)*'6. Quellen &amp; Methodik'!B17+MAX(MIN(Q45-50,200),0)*'6. Quellen &amp; Methodik'!B18+MAX(MIN(Q45-250,750),0)*'6. Quellen &amp; Methodik'!B19+MAX(Q45-1000,0)*'6. Quellen &amp; Methodik'!B20,0)</f>
        <v/>
      </c>
      <c r="G45" s="135">
        <f>IF(OR(A45=1,A45=13,A45=25),'6. Quellen &amp; Methodik'!B36*(C45*'1. Eingaben'!B10*12+E45+F45),0)</f>
        <v/>
      </c>
      <c r="H45" s="135">
        <f>SUM(D45:G45)</f>
        <v/>
      </c>
      <c r="I45" s="160">
        <f>'4. Szenarien'!B6*(1-(1-'4. Szenarien'!B13)*POWER(0.5,(A45-1)/'4. Szenarien'!B14))</f>
        <v/>
      </c>
      <c r="J45" s="160">
        <f>'4. Szenarien'!B7*(1-(1-'4. Szenarien'!B13)*POWER(0.5,(A45-1)/'4. Szenarien'!B14))</f>
        <v/>
      </c>
      <c r="K45" s="135">
        <f>Q45*I45*'4. Szenarien'!D6*'1. Eingaben'!B9</f>
        <v/>
      </c>
      <c r="L45" s="135">
        <f>Q45*J45*'4. Szenarien'!D7*'1. Eingaben'!B9</f>
        <v/>
      </c>
      <c r="M45" s="135">
        <f>M44+K45-H45</f>
        <v/>
      </c>
      <c r="N45" s="135">
        <f>N44+L45-H45</f>
        <v/>
      </c>
      <c r="O45" s="81">
        <f>IF(M45&gt;=0,A45,99)</f>
        <v/>
      </c>
      <c r="P45" s="81">
        <f>IF(N45&gt;=0,A45,99)</f>
        <v/>
      </c>
      <c r="Q45">
        <f>'1. Eingaben'!B11</f>
        <v/>
      </c>
      <c r="R45">
        <f>MAX(Q45-C45,0)</f>
        <v/>
      </c>
    </row>
    <row r="46">
      <c r="A46" s="137" t="n">
        <v>21</v>
      </c>
      <c r="B46" s="137">
        <f>INT((A46-1)/12)+1</f>
        <v/>
      </c>
      <c r="C46" s="137">
        <f>'1. Eingaben'!B8</f>
        <v/>
      </c>
      <c r="D46" s="135">
        <f>C46*'1. Eingaben'!B10</f>
        <v/>
      </c>
      <c r="E46" s="135">
        <f>IF(A46=1,INT((C46+'6. Quellen &amp; Methodik'!B33-1)/'6. Quellen &amp; Methodik'!B33)*('6. Quellen &amp; Methodik'!B31+'6. Quellen &amp; Methodik'!B32*'6. Quellen &amp; Methodik'!B35),IF(OR(A46=13,A46=25),INT((C46+'6. Quellen &amp; Methodik'!B33-1)/'6. Quellen &amp; Methodik'!B33)*('6. Quellen &amp; Methodik'!B31+'6. Quellen &amp; Methodik'!B32*'6. Quellen &amp; Methodik'!B35)*'6. Quellen &amp; Methodik'!B34,0))+IF(A46=1,INT((R46+'6. Quellen &amp; Methodik'!B33-1)/'6. Quellen &amp; Methodik'!B33)*'6. Quellen &amp; Methodik'!B31,0)</f>
        <v/>
      </c>
      <c r="F46" s="135">
        <f>IF(A46=1,'6. Quellen &amp; Methodik'!B16+MIN(Q46,50)*'6. Quellen &amp; Methodik'!B17+MAX(MIN(Q46-50,200),0)*'6. Quellen &amp; Methodik'!B18+MAX(MIN(Q46-250,750),0)*'6. Quellen &amp; Methodik'!B19+MAX(Q46-1000,0)*'6. Quellen &amp; Methodik'!B20,0)</f>
        <v/>
      </c>
      <c r="G46" s="135">
        <f>IF(OR(A46=1,A46=13,A46=25),'6. Quellen &amp; Methodik'!B36*(C46*'1. Eingaben'!B10*12+E46+F46),0)</f>
        <v/>
      </c>
      <c r="H46" s="135">
        <f>SUM(D46:G46)</f>
        <v/>
      </c>
      <c r="I46" s="160">
        <f>'4. Szenarien'!B6*(1-(1-'4. Szenarien'!B13)*POWER(0.5,(A46-1)/'4. Szenarien'!B14))</f>
        <v/>
      </c>
      <c r="J46" s="160">
        <f>'4. Szenarien'!B7*(1-(1-'4. Szenarien'!B13)*POWER(0.5,(A46-1)/'4. Szenarien'!B14))</f>
        <v/>
      </c>
      <c r="K46" s="135">
        <f>Q46*I46*'4. Szenarien'!D6*'1. Eingaben'!B9</f>
        <v/>
      </c>
      <c r="L46" s="135">
        <f>Q46*J46*'4. Szenarien'!D7*'1. Eingaben'!B9</f>
        <v/>
      </c>
      <c r="M46" s="135">
        <f>M45+K46-H46</f>
        <v/>
      </c>
      <c r="N46" s="135">
        <f>N45+L46-H46</f>
        <v/>
      </c>
      <c r="O46" s="81">
        <f>IF(M46&gt;=0,A46,99)</f>
        <v/>
      </c>
      <c r="P46" s="81">
        <f>IF(N46&gt;=0,A46,99)</f>
        <v/>
      </c>
      <c r="Q46">
        <f>'1. Eingaben'!B11</f>
        <v/>
      </c>
      <c r="R46">
        <f>MAX(Q46-C46,0)</f>
        <v/>
      </c>
    </row>
    <row r="47">
      <c r="A47" s="137" t="n">
        <v>22</v>
      </c>
      <c r="B47" s="137">
        <f>INT((A47-1)/12)+1</f>
        <v/>
      </c>
      <c r="C47" s="137">
        <f>'1. Eingaben'!B8</f>
        <v/>
      </c>
      <c r="D47" s="135">
        <f>C47*'1. Eingaben'!B10</f>
        <v/>
      </c>
      <c r="E47" s="135">
        <f>IF(A47=1,INT((C47+'6. Quellen &amp; Methodik'!B33-1)/'6. Quellen &amp; Methodik'!B33)*('6. Quellen &amp; Methodik'!B31+'6. Quellen &amp; Methodik'!B32*'6. Quellen &amp; Methodik'!B35),IF(OR(A47=13,A47=25),INT((C47+'6. Quellen &amp; Methodik'!B33-1)/'6. Quellen &amp; Methodik'!B33)*('6. Quellen &amp; Methodik'!B31+'6. Quellen &amp; Methodik'!B32*'6. Quellen &amp; Methodik'!B35)*'6. Quellen &amp; Methodik'!B34,0))+IF(A47=1,INT((R47+'6. Quellen &amp; Methodik'!B33-1)/'6. Quellen &amp; Methodik'!B33)*'6. Quellen &amp; Methodik'!B31,0)</f>
        <v/>
      </c>
      <c r="F47" s="135">
        <f>IF(A47=1,'6. Quellen &amp; Methodik'!B16+MIN(Q47,50)*'6. Quellen &amp; Methodik'!B17+MAX(MIN(Q47-50,200),0)*'6. Quellen &amp; Methodik'!B18+MAX(MIN(Q47-250,750),0)*'6. Quellen &amp; Methodik'!B19+MAX(Q47-1000,0)*'6. Quellen &amp; Methodik'!B20,0)</f>
        <v/>
      </c>
      <c r="G47" s="135">
        <f>IF(OR(A47=1,A47=13,A47=25),'6. Quellen &amp; Methodik'!B36*(C47*'1. Eingaben'!B10*12+E47+F47),0)</f>
        <v/>
      </c>
      <c r="H47" s="135">
        <f>SUM(D47:G47)</f>
        <v/>
      </c>
      <c r="I47" s="160">
        <f>'4. Szenarien'!B6*(1-(1-'4. Szenarien'!B13)*POWER(0.5,(A47-1)/'4. Szenarien'!B14))</f>
        <v/>
      </c>
      <c r="J47" s="160">
        <f>'4. Szenarien'!B7*(1-(1-'4. Szenarien'!B13)*POWER(0.5,(A47-1)/'4. Szenarien'!B14))</f>
        <v/>
      </c>
      <c r="K47" s="135">
        <f>Q47*I47*'4. Szenarien'!D6*'1. Eingaben'!B9</f>
        <v/>
      </c>
      <c r="L47" s="135">
        <f>Q47*J47*'4. Szenarien'!D7*'1. Eingaben'!B9</f>
        <v/>
      </c>
      <c r="M47" s="135">
        <f>M46+K47-H47</f>
        <v/>
      </c>
      <c r="N47" s="135">
        <f>N46+L47-H47</f>
        <v/>
      </c>
      <c r="O47" s="81">
        <f>IF(M47&gt;=0,A47,99)</f>
        <v/>
      </c>
      <c r="P47" s="81">
        <f>IF(N47&gt;=0,A47,99)</f>
        <v/>
      </c>
      <c r="Q47">
        <f>'1. Eingaben'!B11</f>
        <v/>
      </c>
      <c r="R47">
        <f>MAX(Q47-C47,0)</f>
        <v/>
      </c>
    </row>
    <row r="48">
      <c r="A48" s="137" t="n">
        <v>23</v>
      </c>
      <c r="B48" s="137">
        <f>INT((A48-1)/12)+1</f>
        <v/>
      </c>
      <c r="C48" s="137">
        <f>'1. Eingaben'!B8</f>
        <v/>
      </c>
      <c r="D48" s="135">
        <f>C48*'1. Eingaben'!B10</f>
        <v/>
      </c>
      <c r="E48" s="135">
        <f>IF(A48=1,INT((C48+'6. Quellen &amp; Methodik'!B33-1)/'6. Quellen &amp; Methodik'!B33)*('6. Quellen &amp; Methodik'!B31+'6. Quellen &amp; Methodik'!B32*'6. Quellen &amp; Methodik'!B35),IF(OR(A48=13,A48=25),INT((C48+'6. Quellen &amp; Methodik'!B33-1)/'6. Quellen &amp; Methodik'!B33)*('6. Quellen &amp; Methodik'!B31+'6. Quellen &amp; Methodik'!B32*'6. Quellen &amp; Methodik'!B35)*'6. Quellen &amp; Methodik'!B34,0))+IF(A48=1,INT((R48+'6. Quellen &amp; Methodik'!B33-1)/'6. Quellen &amp; Methodik'!B33)*'6. Quellen &amp; Methodik'!B31,0)</f>
        <v/>
      </c>
      <c r="F48" s="135">
        <f>IF(A48=1,'6. Quellen &amp; Methodik'!B16+MIN(Q48,50)*'6. Quellen &amp; Methodik'!B17+MAX(MIN(Q48-50,200),0)*'6. Quellen &amp; Methodik'!B18+MAX(MIN(Q48-250,750),0)*'6. Quellen &amp; Methodik'!B19+MAX(Q48-1000,0)*'6. Quellen &amp; Methodik'!B20,0)</f>
        <v/>
      </c>
      <c r="G48" s="135">
        <f>IF(OR(A48=1,A48=13,A48=25),'6. Quellen &amp; Methodik'!B36*(C48*'1. Eingaben'!B10*12+E48+F48),0)</f>
        <v/>
      </c>
      <c r="H48" s="135">
        <f>SUM(D48:G48)</f>
        <v/>
      </c>
      <c r="I48" s="160">
        <f>'4. Szenarien'!B6*(1-(1-'4. Szenarien'!B13)*POWER(0.5,(A48-1)/'4. Szenarien'!B14))</f>
        <v/>
      </c>
      <c r="J48" s="160">
        <f>'4. Szenarien'!B7*(1-(1-'4. Szenarien'!B13)*POWER(0.5,(A48-1)/'4. Szenarien'!B14))</f>
        <v/>
      </c>
      <c r="K48" s="135">
        <f>Q48*I48*'4. Szenarien'!D6*'1. Eingaben'!B9</f>
        <v/>
      </c>
      <c r="L48" s="135">
        <f>Q48*J48*'4. Szenarien'!D7*'1. Eingaben'!B9</f>
        <v/>
      </c>
      <c r="M48" s="135">
        <f>M47+K48-H48</f>
        <v/>
      </c>
      <c r="N48" s="135">
        <f>N47+L48-H48</f>
        <v/>
      </c>
      <c r="O48" s="81">
        <f>IF(M48&gt;=0,A48,99)</f>
        <v/>
      </c>
      <c r="P48" s="81">
        <f>IF(N48&gt;=0,A48,99)</f>
        <v/>
      </c>
      <c r="Q48">
        <f>'1. Eingaben'!B11</f>
        <v/>
      </c>
      <c r="R48">
        <f>MAX(Q48-C48,0)</f>
        <v/>
      </c>
    </row>
    <row r="49">
      <c r="A49" s="137" t="n">
        <v>24</v>
      </c>
      <c r="B49" s="137">
        <f>INT((A49-1)/12)+1</f>
        <v/>
      </c>
      <c r="C49" s="137">
        <f>'1. Eingaben'!B8</f>
        <v/>
      </c>
      <c r="D49" s="135">
        <f>C49*'1. Eingaben'!B10</f>
        <v/>
      </c>
      <c r="E49" s="135">
        <f>IF(A49=1,INT((C49+'6. Quellen &amp; Methodik'!B33-1)/'6. Quellen &amp; Methodik'!B33)*('6. Quellen &amp; Methodik'!B31+'6. Quellen &amp; Methodik'!B32*'6. Quellen &amp; Methodik'!B35),IF(OR(A49=13,A49=25),INT((C49+'6. Quellen &amp; Methodik'!B33-1)/'6. Quellen &amp; Methodik'!B33)*('6. Quellen &amp; Methodik'!B31+'6. Quellen &amp; Methodik'!B32*'6. Quellen &amp; Methodik'!B35)*'6. Quellen &amp; Methodik'!B34,0))+IF(A49=1,INT((R49+'6. Quellen &amp; Methodik'!B33-1)/'6. Quellen &amp; Methodik'!B33)*'6. Quellen &amp; Methodik'!B31,0)</f>
        <v/>
      </c>
      <c r="F49" s="135">
        <f>IF(A49=1,'6. Quellen &amp; Methodik'!B16+MIN(Q49,50)*'6. Quellen &amp; Methodik'!B17+MAX(MIN(Q49-50,200),0)*'6. Quellen &amp; Methodik'!B18+MAX(MIN(Q49-250,750),0)*'6. Quellen &amp; Methodik'!B19+MAX(Q49-1000,0)*'6. Quellen &amp; Methodik'!B20,0)</f>
        <v/>
      </c>
      <c r="G49" s="135">
        <f>IF(OR(A49=1,A49=13,A49=25),'6. Quellen &amp; Methodik'!B36*(C49*'1. Eingaben'!B10*12+E49+F49),0)</f>
        <v/>
      </c>
      <c r="H49" s="135">
        <f>SUM(D49:G49)</f>
        <v/>
      </c>
      <c r="I49" s="160">
        <f>'4. Szenarien'!B6*(1-(1-'4. Szenarien'!B13)*POWER(0.5,(A49-1)/'4. Szenarien'!B14))</f>
        <v/>
      </c>
      <c r="J49" s="160">
        <f>'4. Szenarien'!B7*(1-(1-'4. Szenarien'!B13)*POWER(0.5,(A49-1)/'4. Szenarien'!B14))</f>
        <v/>
      </c>
      <c r="K49" s="135">
        <f>Q49*I49*'4. Szenarien'!D6*'1. Eingaben'!B9</f>
        <v/>
      </c>
      <c r="L49" s="135">
        <f>Q49*J49*'4. Szenarien'!D7*'1. Eingaben'!B9</f>
        <v/>
      </c>
      <c r="M49" s="135">
        <f>M48+K49-H49</f>
        <v/>
      </c>
      <c r="N49" s="135">
        <f>N48+L49-H49</f>
        <v/>
      </c>
      <c r="O49" s="81">
        <f>IF(M49&gt;=0,A49,99)</f>
        <v/>
      </c>
      <c r="P49" s="81">
        <f>IF(N49&gt;=0,A49,99)</f>
        <v/>
      </c>
      <c r="Q49">
        <f>'1. Eingaben'!B11</f>
        <v/>
      </c>
      <c r="R49">
        <f>MAX(Q49-C49,0)</f>
        <v/>
      </c>
    </row>
    <row r="50">
      <c r="A50" s="137" t="n">
        <v>25</v>
      </c>
      <c r="B50" s="137">
        <f>INT((A50-1)/12)+1</f>
        <v/>
      </c>
      <c r="C50" s="137">
        <f>'1. Eingaben'!B8</f>
        <v/>
      </c>
      <c r="D50" s="135">
        <f>C50*'1. Eingaben'!B10</f>
        <v/>
      </c>
      <c r="E50" s="135">
        <f>IF(A50=1,INT((C50+'6. Quellen &amp; Methodik'!B33-1)/'6. Quellen &amp; Methodik'!B33)*('6. Quellen &amp; Methodik'!B31+'6. Quellen &amp; Methodik'!B32*'6. Quellen &amp; Methodik'!B35),IF(OR(A50=13,A50=25),INT((C50+'6. Quellen &amp; Methodik'!B33-1)/'6. Quellen &amp; Methodik'!B33)*('6. Quellen &amp; Methodik'!B31+'6. Quellen &amp; Methodik'!B32*'6. Quellen &amp; Methodik'!B35)*'6. Quellen &amp; Methodik'!B34,0))+IF(A50=1,INT((R50+'6. Quellen &amp; Methodik'!B33-1)/'6. Quellen &amp; Methodik'!B33)*'6. Quellen &amp; Methodik'!B31,0)</f>
        <v/>
      </c>
      <c r="F50" s="135">
        <f>IF(A50=1,'6. Quellen &amp; Methodik'!B16+MIN(Q50,50)*'6. Quellen &amp; Methodik'!B17+MAX(MIN(Q50-50,200),0)*'6. Quellen &amp; Methodik'!B18+MAX(MIN(Q50-250,750),0)*'6. Quellen &amp; Methodik'!B19+MAX(Q50-1000,0)*'6. Quellen &amp; Methodik'!B20,0)</f>
        <v/>
      </c>
      <c r="G50" s="135">
        <f>IF(OR(A50=1,A50=13,A50=25),'6. Quellen &amp; Methodik'!B36*(C50*'1. Eingaben'!B10*12+E50+F50),0)</f>
        <v/>
      </c>
      <c r="H50" s="135">
        <f>SUM(D50:G50)</f>
        <v/>
      </c>
      <c r="I50" s="160">
        <f>'4. Szenarien'!B6*(1-(1-'4. Szenarien'!B13)*POWER(0.5,(A50-1)/'4. Szenarien'!B14))</f>
        <v/>
      </c>
      <c r="J50" s="160">
        <f>'4. Szenarien'!B7*(1-(1-'4. Szenarien'!B13)*POWER(0.5,(A50-1)/'4. Szenarien'!B14))</f>
        <v/>
      </c>
      <c r="K50" s="135">
        <f>Q50*I50*'4. Szenarien'!D6*'1. Eingaben'!B9</f>
        <v/>
      </c>
      <c r="L50" s="135">
        <f>Q50*J50*'4. Szenarien'!D7*'1. Eingaben'!B9</f>
        <v/>
      </c>
      <c r="M50" s="135">
        <f>M49+K50-H50</f>
        <v/>
      </c>
      <c r="N50" s="135">
        <f>N49+L50-H50</f>
        <v/>
      </c>
      <c r="O50" s="81">
        <f>IF(M50&gt;=0,A50,99)</f>
        <v/>
      </c>
      <c r="P50" s="81">
        <f>IF(N50&gt;=0,A50,99)</f>
        <v/>
      </c>
      <c r="Q50">
        <f>'1. Eingaben'!B11</f>
        <v/>
      </c>
      <c r="R50">
        <f>MAX(Q50-C50,0)</f>
        <v/>
      </c>
    </row>
    <row r="51">
      <c r="A51" s="137" t="n">
        <v>26</v>
      </c>
      <c r="B51" s="137">
        <f>INT((A51-1)/12)+1</f>
        <v/>
      </c>
      <c r="C51" s="137">
        <f>'1. Eingaben'!B8</f>
        <v/>
      </c>
      <c r="D51" s="135">
        <f>C51*'1. Eingaben'!B10</f>
        <v/>
      </c>
      <c r="E51" s="135">
        <f>IF(A51=1,INT((C51+'6. Quellen &amp; Methodik'!B33-1)/'6. Quellen &amp; Methodik'!B33)*('6. Quellen &amp; Methodik'!B31+'6. Quellen &amp; Methodik'!B32*'6. Quellen &amp; Methodik'!B35),IF(OR(A51=13,A51=25),INT((C51+'6. Quellen &amp; Methodik'!B33-1)/'6. Quellen &amp; Methodik'!B33)*('6. Quellen &amp; Methodik'!B31+'6. Quellen &amp; Methodik'!B32*'6. Quellen &amp; Methodik'!B35)*'6. Quellen &amp; Methodik'!B34,0))+IF(A51=1,INT((R51+'6. Quellen &amp; Methodik'!B33-1)/'6. Quellen &amp; Methodik'!B33)*'6. Quellen &amp; Methodik'!B31,0)</f>
        <v/>
      </c>
      <c r="F51" s="135">
        <f>IF(A51=1,'6. Quellen &amp; Methodik'!B16+MIN(Q51,50)*'6. Quellen &amp; Methodik'!B17+MAX(MIN(Q51-50,200),0)*'6. Quellen &amp; Methodik'!B18+MAX(MIN(Q51-250,750),0)*'6. Quellen &amp; Methodik'!B19+MAX(Q51-1000,0)*'6. Quellen &amp; Methodik'!B20,0)</f>
        <v/>
      </c>
      <c r="G51" s="135">
        <f>IF(OR(A51=1,A51=13,A51=25),'6. Quellen &amp; Methodik'!B36*(C51*'1. Eingaben'!B10*12+E51+F51),0)</f>
        <v/>
      </c>
      <c r="H51" s="135">
        <f>SUM(D51:G51)</f>
        <v/>
      </c>
      <c r="I51" s="160">
        <f>'4. Szenarien'!B6*(1-(1-'4. Szenarien'!B13)*POWER(0.5,(A51-1)/'4. Szenarien'!B14))</f>
        <v/>
      </c>
      <c r="J51" s="160">
        <f>'4. Szenarien'!B7*(1-(1-'4. Szenarien'!B13)*POWER(0.5,(A51-1)/'4. Szenarien'!B14))</f>
        <v/>
      </c>
      <c r="K51" s="135">
        <f>Q51*I51*'4. Szenarien'!D6*'1. Eingaben'!B9</f>
        <v/>
      </c>
      <c r="L51" s="135">
        <f>Q51*J51*'4. Szenarien'!D7*'1. Eingaben'!B9</f>
        <v/>
      </c>
      <c r="M51" s="135">
        <f>M50+K51-H51</f>
        <v/>
      </c>
      <c r="N51" s="135">
        <f>N50+L51-H51</f>
        <v/>
      </c>
      <c r="O51" s="81">
        <f>IF(M51&gt;=0,A51,99)</f>
        <v/>
      </c>
      <c r="P51" s="81">
        <f>IF(N51&gt;=0,A51,99)</f>
        <v/>
      </c>
      <c r="Q51">
        <f>'1. Eingaben'!B11</f>
        <v/>
      </c>
      <c r="R51">
        <f>MAX(Q51-C51,0)</f>
        <v/>
      </c>
    </row>
    <row r="52">
      <c r="A52" s="137" t="n">
        <v>27</v>
      </c>
      <c r="B52" s="137">
        <f>INT((A52-1)/12)+1</f>
        <v/>
      </c>
      <c r="C52" s="137">
        <f>'1. Eingaben'!B8</f>
        <v/>
      </c>
      <c r="D52" s="135">
        <f>C52*'1. Eingaben'!B10</f>
        <v/>
      </c>
      <c r="E52" s="135">
        <f>IF(A52=1,INT((C52+'6. Quellen &amp; Methodik'!B33-1)/'6. Quellen &amp; Methodik'!B33)*('6. Quellen &amp; Methodik'!B31+'6. Quellen &amp; Methodik'!B32*'6. Quellen &amp; Methodik'!B35),IF(OR(A52=13,A52=25),INT((C52+'6. Quellen &amp; Methodik'!B33-1)/'6. Quellen &amp; Methodik'!B33)*('6. Quellen &amp; Methodik'!B31+'6. Quellen &amp; Methodik'!B32*'6. Quellen &amp; Methodik'!B35)*'6. Quellen &amp; Methodik'!B34,0))+IF(A52=1,INT((R52+'6. Quellen &amp; Methodik'!B33-1)/'6. Quellen &amp; Methodik'!B33)*'6. Quellen &amp; Methodik'!B31,0)</f>
        <v/>
      </c>
      <c r="F52" s="135">
        <f>IF(A52=1,'6. Quellen &amp; Methodik'!B16+MIN(Q52,50)*'6. Quellen &amp; Methodik'!B17+MAX(MIN(Q52-50,200),0)*'6. Quellen &amp; Methodik'!B18+MAX(MIN(Q52-250,750),0)*'6. Quellen &amp; Methodik'!B19+MAX(Q52-1000,0)*'6. Quellen &amp; Methodik'!B20,0)</f>
        <v/>
      </c>
      <c r="G52" s="135">
        <f>IF(OR(A52=1,A52=13,A52=25),'6. Quellen &amp; Methodik'!B36*(C52*'1. Eingaben'!B10*12+E52+F52),0)</f>
        <v/>
      </c>
      <c r="H52" s="135">
        <f>SUM(D52:G52)</f>
        <v/>
      </c>
      <c r="I52" s="160">
        <f>'4. Szenarien'!B6*(1-(1-'4. Szenarien'!B13)*POWER(0.5,(A52-1)/'4. Szenarien'!B14))</f>
        <v/>
      </c>
      <c r="J52" s="160">
        <f>'4. Szenarien'!B7*(1-(1-'4. Szenarien'!B13)*POWER(0.5,(A52-1)/'4. Szenarien'!B14))</f>
        <v/>
      </c>
      <c r="K52" s="135">
        <f>Q52*I52*'4. Szenarien'!D6*'1. Eingaben'!B9</f>
        <v/>
      </c>
      <c r="L52" s="135">
        <f>Q52*J52*'4. Szenarien'!D7*'1. Eingaben'!B9</f>
        <v/>
      </c>
      <c r="M52" s="135">
        <f>M51+K52-H52</f>
        <v/>
      </c>
      <c r="N52" s="135">
        <f>N51+L52-H52</f>
        <v/>
      </c>
      <c r="O52" s="81">
        <f>IF(M52&gt;=0,A52,99)</f>
        <v/>
      </c>
      <c r="P52" s="81">
        <f>IF(N52&gt;=0,A52,99)</f>
        <v/>
      </c>
      <c r="Q52">
        <f>'1. Eingaben'!B11</f>
        <v/>
      </c>
      <c r="R52">
        <f>MAX(Q52-C52,0)</f>
        <v/>
      </c>
    </row>
    <row r="53">
      <c r="A53" s="137" t="n">
        <v>28</v>
      </c>
      <c r="B53" s="137">
        <f>INT((A53-1)/12)+1</f>
        <v/>
      </c>
      <c r="C53" s="137">
        <f>'1. Eingaben'!B8</f>
        <v/>
      </c>
      <c r="D53" s="135">
        <f>C53*'1. Eingaben'!B10</f>
        <v/>
      </c>
      <c r="E53" s="135">
        <f>IF(A53=1,INT((C53+'6. Quellen &amp; Methodik'!B33-1)/'6. Quellen &amp; Methodik'!B33)*('6. Quellen &amp; Methodik'!B31+'6. Quellen &amp; Methodik'!B32*'6. Quellen &amp; Methodik'!B35),IF(OR(A53=13,A53=25),INT((C53+'6. Quellen &amp; Methodik'!B33-1)/'6. Quellen &amp; Methodik'!B33)*('6. Quellen &amp; Methodik'!B31+'6. Quellen &amp; Methodik'!B32*'6. Quellen &amp; Methodik'!B35)*'6. Quellen &amp; Methodik'!B34,0))+IF(A53=1,INT((R53+'6. Quellen &amp; Methodik'!B33-1)/'6. Quellen &amp; Methodik'!B33)*'6. Quellen &amp; Methodik'!B31,0)</f>
        <v/>
      </c>
      <c r="F53" s="135">
        <f>IF(A53=1,'6. Quellen &amp; Methodik'!B16+MIN(Q53,50)*'6. Quellen &amp; Methodik'!B17+MAX(MIN(Q53-50,200),0)*'6. Quellen &amp; Methodik'!B18+MAX(MIN(Q53-250,750),0)*'6. Quellen &amp; Methodik'!B19+MAX(Q53-1000,0)*'6. Quellen &amp; Methodik'!B20,0)</f>
        <v/>
      </c>
      <c r="G53" s="135">
        <f>IF(OR(A53=1,A53=13,A53=25),'6. Quellen &amp; Methodik'!B36*(C53*'1. Eingaben'!B10*12+E53+F53),0)</f>
        <v/>
      </c>
      <c r="H53" s="135">
        <f>SUM(D53:G53)</f>
        <v/>
      </c>
      <c r="I53" s="160">
        <f>'4. Szenarien'!B6*(1-(1-'4. Szenarien'!B13)*POWER(0.5,(A53-1)/'4. Szenarien'!B14))</f>
        <v/>
      </c>
      <c r="J53" s="160">
        <f>'4. Szenarien'!B7*(1-(1-'4. Szenarien'!B13)*POWER(0.5,(A53-1)/'4. Szenarien'!B14))</f>
        <v/>
      </c>
      <c r="K53" s="135">
        <f>Q53*I53*'4. Szenarien'!D6*'1. Eingaben'!B9</f>
        <v/>
      </c>
      <c r="L53" s="135">
        <f>Q53*J53*'4. Szenarien'!D7*'1. Eingaben'!B9</f>
        <v/>
      </c>
      <c r="M53" s="135">
        <f>M52+K53-H53</f>
        <v/>
      </c>
      <c r="N53" s="135">
        <f>N52+L53-H53</f>
        <v/>
      </c>
      <c r="O53" s="81">
        <f>IF(M53&gt;=0,A53,99)</f>
        <v/>
      </c>
      <c r="P53" s="81">
        <f>IF(N53&gt;=0,A53,99)</f>
        <v/>
      </c>
      <c r="Q53">
        <f>'1. Eingaben'!B11</f>
        <v/>
      </c>
      <c r="R53">
        <f>MAX(Q53-C53,0)</f>
        <v/>
      </c>
    </row>
    <row r="54">
      <c r="A54" s="137" t="n">
        <v>29</v>
      </c>
      <c r="B54" s="137">
        <f>INT((A54-1)/12)+1</f>
        <v/>
      </c>
      <c r="C54" s="137">
        <f>'1. Eingaben'!B8</f>
        <v/>
      </c>
      <c r="D54" s="135">
        <f>C54*'1. Eingaben'!B10</f>
        <v/>
      </c>
      <c r="E54" s="135">
        <f>IF(A54=1,INT((C54+'6. Quellen &amp; Methodik'!B33-1)/'6. Quellen &amp; Methodik'!B33)*('6. Quellen &amp; Methodik'!B31+'6. Quellen &amp; Methodik'!B32*'6. Quellen &amp; Methodik'!B35),IF(OR(A54=13,A54=25),INT((C54+'6. Quellen &amp; Methodik'!B33-1)/'6. Quellen &amp; Methodik'!B33)*('6. Quellen &amp; Methodik'!B31+'6. Quellen &amp; Methodik'!B32*'6. Quellen &amp; Methodik'!B35)*'6. Quellen &amp; Methodik'!B34,0))+IF(A54=1,INT((R54+'6. Quellen &amp; Methodik'!B33-1)/'6. Quellen &amp; Methodik'!B33)*'6. Quellen &amp; Methodik'!B31,0)</f>
        <v/>
      </c>
      <c r="F54" s="135">
        <f>IF(A54=1,'6. Quellen &amp; Methodik'!B16+MIN(Q54,50)*'6. Quellen &amp; Methodik'!B17+MAX(MIN(Q54-50,200),0)*'6. Quellen &amp; Methodik'!B18+MAX(MIN(Q54-250,750),0)*'6. Quellen &amp; Methodik'!B19+MAX(Q54-1000,0)*'6. Quellen &amp; Methodik'!B20,0)</f>
        <v/>
      </c>
      <c r="G54" s="135">
        <f>IF(OR(A54=1,A54=13,A54=25),'6. Quellen &amp; Methodik'!B36*(C54*'1. Eingaben'!B10*12+E54+F54),0)</f>
        <v/>
      </c>
      <c r="H54" s="135">
        <f>SUM(D54:G54)</f>
        <v/>
      </c>
      <c r="I54" s="160">
        <f>'4. Szenarien'!B6*(1-(1-'4. Szenarien'!B13)*POWER(0.5,(A54-1)/'4. Szenarien'!B14))</f>
        <v/>
      </c>
      <c r="J54" s="160">
        <f>'4. Szenarien'!B7*(1-(1-'4. Szenarien'!B13)*POWER(0.5,(A54-1)/'4. Szenarien'!B14))</f>
        <v/>
      </c>
      <c r="K54" s="135">
        <f>Q54*I54*'4. Szenarien'!D6*'1. Eingaben'!B9</f>
        <v/>
      </c>
      <c r="L54" s="135">
        <f>Q54*J54*'4. Szenarien'!D7*'1. Eingaben'!B9</f>
        <v/>
      </c>
      <c r="M54" s="135">
        <f>M53+K54-H54</f>
        <v/>
      </c>
      <c r="N54" s="135">
        <f>N53+L54-H54</f>
        <v/>
      </c>
      <c r="O54" s="81">
        <f>IF(M54&gt;=0,A54,99)</f>
        <v/>
      </c>
      <c r="P54" s="81">
        <f>IF(N54&gt;=0,A54,99)</f>
        <v/>
      </c>
      <c r="Q54">
        <f>'1. Eingaben'!B11</f>
        <v/>
      </c>
      <c r="R54">
        <f>MAX(Q54-C54,0)</f>
        <v/>
      </c>
    </row>
    <row r="55">
      <c r="A55" s="137" t="n">
        <v>30</v>
      </c>
      <c r="B55" s="137">
        <f>INT((A55-1)/12)+1</f>
        <v/>
      </c>
      <c r="C55" s="137">
        <f>'1. Eingaben'!B8</f>
        <v/>
      </c>
      <c r="D55" s="135">
        <f>C55*'1. Eingaben'!B10</f>
        <v/>
      </c>
      <c r="E55" s="135">
        <f>IF(A55=1,INT((C55+'6. Quellen &amp; Methodik'!B33-1)/'6. Quellen &amp; Methodik'!B33)*('6. Quellen &amp; Methodik'!B31+'6. Quellen &amp; Methodik'!B32*'6. Quellen &amp; Methodik'!B35),IF(OR(A55=13,A55=25),INT((C55+'6. Quellen &amp; Methodik'!B33-1)/'6. Quellen &amp; Methodik'!B33)*('6. Quellen &amp; Methodik'!B31+'6. Quellen &amp; Methodik'!B32*'6. Quellen &amp; Methodik'!B35)*'6. Quellen &amp; Methodik'!B34,0))+IF(A55=1,INT((R55+'6. Quellen &amp; Methodik'!B33-1)/'6. Quellen &amp; Methodik'!B33)*'6. Quellen &amp; Methodik'!B31,0)</f>
        <v/>
      </c>
      <c r="F55" s="135">
        <f>IF(A55=1,'6. Quellen &amp; Methodik'!B16+MIN(Q55,50)*'6. Quellen &amp; Methodik'!B17+MAX(MIN(Q55-50,200),0)*'6. Quellen &amp; Methodik'!B18+MAX(MIN(Q55-250,750),0)*'6. Quellen &amp; Methodik'!B19+MAX(Q55-1000,0)*'6. Quellen &amp; Methodik'!B20,0)</f>
        <v/>
      </c>
      <c r="G55" s="135">
        <f>IF(OR(A55=1,A55=13,A55=25),'6. Quellen &amp; Methodik'!B36*(C55*'1. Eingaben'!B10*12+E55+F55),0)</f>
        <v/>
      </c>
      <c r="H55" s="135">
        <f>SUM(D55:G55)</f>
        <v/>
      </c>
      <c r="I55" s="160">
        <f>'4. Szenarien'!B6*(1-(1-'4. Szenarien'!B13)*POWER(0.5,(A55-1)/'4. Szenarien'!B14))</f>
        <v/>
      </c>
      <c r="J55" s="160">
        <f>'4. Szenarien'!B7*(1-(1-'4. Szenarien'!B13)*POWER(0.5,(A55-1)/'4. Szenarien'!B14))</f>
        <v/>
      </c>
      <c r="K55" s="135">
        <f>Q55*I55*'4. Szenarien'!D6*'1. Eingaben'!B9</f>
        <v/>
      </c>
      <c r="L55" s="135">
        <f>Q55*J55*'4. Szenarien'!D7*'1. Eingaben'!B9</f>
        <v/>
      </c>
      <c r="M55" s="135">
        <f>M54+K55-H55</f>
        <v/>
      </c>
      <c r="N55" s="135">
        <f>N54+L55-H55</f>
        <v/>
      </c>
      <c r="O55" s="81">
        <f>IF(M55&gt;=0,A55,99)</f>
        <v/>
      </c>
      <c r="P55" s="81">
        <f>IF(N55&gt;=0,A55,99)</f>
        <v/>
      </c>
      <c r="Q55">
        <f>'1. Eingaben'!B11</f>
        <v/>
      </c>
      <c r="R55">
        <f>MAX(Q55-C55,0)</f>
        <v/>
      </c>
    </row>
    <row r="56">
      <c r="A56" s="137" t="n">
        <v>31</v>
      </c>
      <c r="B56" s="137">
        <f>INT((A56-1)/12)+1</f>
        <v/>
      </c>
      <c r="C56" s="137">
        <f>'1. Eingaben'!B8</f>
        <v/>
      </c>
      <c r="D56" s="135">
        <f>C56*'1. Eingaben'!B10</f>
        <v/>
      </c>
      <c r="E56" s="135">
        <f>IF(A56=1,INT((C56+'6. Quellen &amp; Methodik'!B33-1)/'6. Quellen &amp; Methodik'!B33)*('6. Quellen &amp; Methodik'!B31+'6. Quellen &amp; Methodik'!B32*'6. Quellen &amp; Methodik'!B35),IF(OR(A56=13,A56=25),INT((C56+'6. Quellen &amp; Methodik'!B33-1)/'6. Quellen &amp; Methodik'!B33)*('6. Quellen &amp; Methodik'!B31+'6. Quellen &amp; Methodik'!B32*'6. Quellen &amp; Methodik'!B35)*'6. Quellen &amp; Methodik'!B34,0))+IF(A56=1,INT((R56+'6. Quellen &amp; Methodik'!B33-1)/'6. Quellen &amp; Methodik'!B33)*'6. Quellen &amp; Methodik'!B31,0)</f>
        <v/>
      </c>
      <c r="F56" s="135">
        <f>IF(A56=1,'6. Quellen &amp; Methodik'!B16+MIN(Q56,50)*'6. Quellen &amp; Methodik'!B17+MAX(MIN(Q56-50,200),0)*'6. Quellen &amp; Methodik'!B18+MAX(MIN(Q56-250,750),0)*'6. Quellen &amp; Methodik'!B19+MAX(Q56-1000,0)*'6. Quellen &amp; Methodik'!B20,0)</f>
        <v/>
      </c>
      <c r="G56" s="135">
        <f>IF(OR(A56=1,A56=13,A56=25),'6. Quellen &amp; Methodik'!B36*(C56*'1. Eingaben'!B10*12+E56+F56),0)</f>
        <v/>
      </c>
      <c r="H56" s="135">
        <f>SUM(D56:G56)</f>
        <v/>
      </c>
      <c r="I56" s="160">
        <f>'4. Szenarien'!B6*(1-(1-'4. Szenarien'!B13)*POWER(0.5,(A56-1)/'4. Szenarien'!B14))</f>
        <v/>
      </c>
      <c r="J56" s="160">
        <f>'4. Szenarien'!B7*(1-(1-'4. Szenarien'!B13)*POWER(0.5,(A56-1)/'4. Szenarien'!B14))</f>
        <v/>
      </c>
      <c r="K56" s="135">
        <f>Q56*I56*'4. Szenarien'!D6*'1. Eingaben'!B9</f>
        <v/>
      </c>
      <c r="L56" s="135">
        <f>Q56*J56*'4. Szenarien'!D7*'1. Eingaben'!B9</f>
        <v/>
      </c>
      <c r="M56" s="135">
        <f>M55+K56-H56</f>
        <v/>
      </c>
      <c r="N56" s="135">
        <f>N55+L56-H56</f>
        <v/>
      </c>
      <c r="O56" s="81">
        <f>IF(M56&gt;=0,A56,99)</f>
        <v/>
      </c>
      <c r="P56" s="81">
        <f>IF(N56&gt;=0,A56,99)</f>
        <v/>
      </c>
      <c r="Q56">
        <f>'1. Eingaben'!B11</f>
        <v/>
      </c>
      <c r="R56">
        <f>MAX(Q56-C56,0)</f>
        <v/>
      </c>
    </row>
    <row r="57">
      <c r="A57" s="137" t="n">
        <v>32</v>
      </c>
      <c r="B57" s="137">
        <f>INT((A57-1)/12)+1</f>
        <v/>
      </c>
      <c r="C57" s="137">
        <f>'1. Eingaben'!B8</f>
        <v/>
      </c>
      <c r="D57" s="135">
        <f>C57*'1. Eingaben'!B10</f>
        <v/>
      </c>
      <c r="E57" s="135">
        <f>IF(A57=1,INT((C57+'6. Quellen &amp; Methodik'!B33-1)/'6. Quellen &amp; Methodik'!B33)*('6. Quellen &amp; Methodik'!B31+'6. Quellen &amp; Methodik'!B32*'6. Quellen &amp; Methodik'!B35),IF(OR(A57=13,A57=25),INT((C57+'6. Quellen &amp; Methodik'!B33-1)/'6. Quellen &amp; Methodik'!B33)*('6. Quellen &amp; Methodik'!B31+'6. Quellen &amp; Methodik'!B32*'6. Quellen &amp; Methodik'!B35)*'6. Quellen &amp; Methodik'!B34,0))+IF(A57=1,INT((R57+'6. Quellen &amp; Methodik'!B33-1)/'6. Quellen &amp; Methodik'!B33)*'6. Quellen &amp; Methodik'!B31,0)</f>
        <v/>
      </c>
      <c r="F57" s="135">
        <f>IF(A57=1,'6. Quellen &amp; Methodik'!B16+MIN(Q57,50)*'6. Quellen &amp; Methodik'!B17+MAX(MIN(Q57-50,200),0)*'6. Quellen &amp; Methodik'!B18+MAX(MIN(Q57-250,750),0)*'6. Quellen &amp; Methodik'!B19+MAX(Q57-1000,0)*'6. Quellen &amp; Methodik'!B20,0)</f>
        <v/>
      </c>
      <c r="G57" s="135">
        <f>IF(OR(A57=1,A57=13,A57=25),'6. Quellen &amp; Methodik'!B36*(C57*'1. Eingaben'!B10*12+E57+F57),0)</f>
        <v/>
      </c>
      <c r="H57" s="135">
        <f>SUM(D57:G57)</f>
        <v/>
      </c>
      <c r="I57" s="160">
        <f>'4. Szenarien'!B6*(1-(1-'4. Szenarien'!B13)*POWER(0.5,(A57-1)/'4. Szenarien'!B14))</f>
        <v/>
      </c>
      <c r="J57" s="160">
        <f>'4. Szenarien'!B7*(1-(1-'4. Szenarien'!B13)*POWER(0.5,(A57-1)/'4. Szenarien'!B14))</f>
        <v/>
      </c>
      <c r="K57" s="135">
        <f>Q57*I57*'4. Szenarien'!D6*'1. Eingaben'!B9</f>
        <v/>
      </c>
      <c r="L57" s="135">
        <f>Q57*J57*'4. Szenarien'!D7*'1. Eingaben'!B9</f>
        <v/>
      </c>
      <c r="M57" s="135">
        <f>M56+K57-H57</f>
        <v/>
      </c>
      <c r="N57" s="135">
        <f>N56+L57-H57</f>
        <v/>
      </c>
      <c r="O57" s="81">
        <f>IF(M57&gt;=0,A57,99)</f>
        <v/>
      </c>
      <c r="P57" s="81">
        <f>IF(N57&gt;=0,A57,99)</f>
        <v/>
      </c>
      <c r="Q57">
        <f>'1. Eingaben'!B11</f>
        <v/>
      </c>
      <c r="R57">
        <f>MAX(Q57-C57,0)</f>
        <v/>
      </c>
    </row>
    <row r="58">
      <c r="A58" s="137" t="n">
        <v>33</v>
      </c>
      <c r="B58" s="137">
        <f>INT((A58-1)/12)+1</f>
        <v/>
      </c>
      <c r="C58" s="137">
        <f>'1. Eingaben'!B8</f>
        <v/>
      </c>
      <c r="D58" s="135">
        <f>C58*'1. Eingaben'!B10</f>
        <v/>
      </c>
      <c r="E58" s="135">
        <f>IF(A58=1,INT((C58+'6. Quellen &amp; Methodik'!B33-1)/'6. Quellen &amp; Methodik'!B33)*('6. Quellen &amp; Methodik'!B31+'6. Quellen &amp; Methodik'!B32*'6. Quellen &amp; Methodik'!B35),IF(OR(A58=13,A58=25),INT((C58+'6. Quellen &amp; Methodik'!B33-1)/'6. Quellen &amp; Methodik'!B33)*('6. Quellen &amp; Methodik'!B31+'6. Quellen &amp; Methodik'!B32*'6. Quellen &amp; Methodik'!B35)*'6. Quellen &amp; Methodik'!B34,0))+IF(A58=1,INT((R58+'6. Quellen &amp; Methodik'!B33-1)/'6. Quellen &amp; Methodik'!B33)*'6. Quellen &amp; Methodik'!B31,0)</f>
        <v/>
      </c>
      <c r="F58" s="135">
        <f>IF(A58=1,'6. Quellen &amp; Methodik'!B16+MIN(Q58,50)*'6. Quellen &amp; Methodik'!B17+MAX(MIN(Q58-50,200),0)*'6. Quellen &amp; Methodik'!B18+MAX(MIN(Q58-250,750),0)*'6. Quellen &amp; Methodik'!B19+MAX(Q58-1000,0)*'6. Quellen &amp; Methodik'!B20,0)</f>
        <v/>
      </c>
      <c r="G58" s="135">
        <f>IF(OR(A58=1,A58=13,A58=25),'6. Quellen &amp; Methodik'!B36*(C58*'1. Eingaben'!B10*12+E58+F58),0)</f>
        <v/>
      </c>
      <c r="H58" s="135">
        <f>SUM(D58:G58)</f>
        <v/>
      </c>
      <c r="I58" s="160">
        <f>'4. Szenarien'!B6*(1-(1-'4. Szenarien'!B13)*POWER(0.5,(A58-1)/'4. Szenarien'!B14))</f>
        <v/>
      </c>
      <c r="J58" s="160">
        <f>'4. Szenarien'!B7*(1-(1-'4. Szenarien'!B13)*POWER(0.5,(A58-1)/'4. Szenarien'!B14))</f>
        <v/>
      </c>
      <c r="K58" s="135">
        <f>Q58*I58*'4. Szenarien'!D6*'1. Eingaben'!B9</f>
        <v/>
      </c>
      <c r="L58" s="135">
        <f>Q58*J58*'4. Szenarien'!D7*'1. Eingaben'!B9</f>
        <v/>
      </c>
      <c r="M58" s="135">
        <f>M57+K58-H58</f>
        <v/>
      </c>
      <c r="N58" s="135">
        <f>N57+L58-H58</f>
        <v/>
      </c>
      <c r="O58" s="81">
        <f>IF(M58&gt;=0,A58,99)</f>
        <v/>
      </c>
      <c r="P58" s="81">
        <f>IF(N58&gt;=0,A58,99)</f>
        <v/>
      </c>
      <c r="Q58">
        <f>'1. Eingaben'!B11</f>
        <v/>
      </c>
      <c r="R58">
        <f>MAX(Q58-C58,0)</f>
        <v/>
      </c>
    </row>
    <row r="59">
      <c r="A59" s="137" t="n">
        <v>34</v>
      </c>
      <c r="B59" s="137">
        <f>INT((A59-1)/12)+1</f>
        <v/>
      </c>
      <c r="C59" s="137">
        <f>'1. Eingaben'!B8</f>
        <v/>
      </c>
      <c r="D59" s="135">
        <f>C59*'1. Eingaben'!B10</f>
        <v/>
      </c>
      <c r="E59" s="135">
        <f>IF(A59=1,INT((C59+'6. Quellen &amp; Methodik'!B33-1)/'6. Quellen &amp; Methodik'!B33)*('6. Quellen &amp; Methodik'!B31+'6. Quellen &amp; Methodik'!B32*'6. Quellen &amp; Methodik'!B35),IF(OR(A59=13,A59=25),INT((C59+'6. Quellen &amp; Methodik'!B33-1)/'6. Quellen &amp; Methodik'!B33)*('6. Quellen &amp; Methodik'!B31+'6. Quellen &amp; Methodik'!B32*'6. Quellen &amp; Methodik'!B35)*'6. Quellen &amp; Methodik'!B34,0))+IF(A59=1,INT((R59+'6. Quellen &amp; Methodik'!B33-1)/'6. Quellen &amp; Methodik'!B33)*'6. Quellen &amp; Methodik'!B31,0)</f>
        <v/>
      </c>
      <c r="F59" s="135">
        <f>IF(A59=1,'6. Quellen &amp; Methodik'!B16+MIN(Q59,50)*'6. Quellen &amp; Methodik'!B17+MAX(MIN(Q59-50,200),0)*'6. Quellen &amp; Methodik'!B18+MAX(MIN(Q59-250,750),0)*'6. Quellen &amp; Methodik'!B19+MAX(Q59-1000,0)*'6. Quellen &amp; Methodik'!B20,0)</f>
        <v/>
      </c>
      <c r="G59" s="135">
        <f>IF(OR(A59=1,A59=13,A59=25),'6. Quellen &amp; Methodik'!B36*(C59*'1. Eingaben'!B10*12+E59+F59),0)</f>
        <v/>
      </c>
      <c r="H59" s="135">
        <f>SUM(D59:G59)</f>
        <v/>
      </c>
      <c r="I59" s="160">
        <f>'4. Szenarien'!B6*(1-(1-'4. Szenarien'!B13)*POWER(0.5,(A59-1)/'4. Szenarien'!B14))</f>
        <v/>
      </c>
      <c r="J59" s="160">
        <f>'4. Szenarien'!B7*(1-(1-'4. Szenarien'!B13)*POWER(0.5,(A59-1)/'4. Szenarien'!B14))</f>
        <v/>
      </c>
      <c r="K59" s="135">
        <f>Q59*I59*'4. Szenarien'!D6*'1. Eingaben'!B9</f>
        <v/>
      </c>
      <c r="L59" s="135">
        <f>Q59*J59*'4. Szenarien'!D7*'1. Eingaben'!B9</f>
        <v/>
      </c>
      <c r="M59" s="135">
        <f>M58+K59-H59</f>
        <v/>
      </c>
      <c r="N59" s="135">
        <f>N58+L59-H59</f>
        <v/>
      </c>
      <c r="O59" s="81">
        <f>IF(M59&gt;=0,A59,99)</f>
        <v/>
      </c>
      <c r="P59" s="81">
        <f>IF(N59&gt;=0,A59,99)</f>
        <v/>
      </c>
      <c r="Q59">
        <f>'1. Eingaben'!B11</f>
        <v/>
      </c>
      <c r="R59">
        <f>MAX(Q59-C59,0)</f>
        <v/>
      </c>
    </row>
    <row r="60">
      <c r="A60" s="137" t="n">
        <v>35</v>
      </c>
      <c r="B60" s="137">
        <f>INT((A60-1)/12)+1</f>
        <v/>
      </c>
      <c r="C60" s="137">
        <f>'1. Eingaben'!B8</f>
        <v/>
      </c>
      <c r="D60" s="135">
        <f>C60*'1. Eingaben'!B10</f>
        <v/>
      </c>
      <c r="E60" s="135">
        <f>IF(A60=1,INT((C60+'6. Quellen &amp; Methodik'!B33-1)/'6. Quellen &amp; Methodik'!B33)*('6. Quellen &amp; Methodik'!B31+'6. Quellen &amp; Methodik'!B32*'6. Quellen &amp; Methodik'!B35),IF(OR(A60=13,A60=25),INT((C60+'6. Quellen &amp; Methodik'!B33-1)/'6. Quellen &amp; Methodik'!B33)*('6. Quellen &amp; Methodik'!B31+'6. Quellen &amp; Methodik'!B32*'6. Quellen &amp; Methodik'!B35)*'6. Quellen &amp; Methodik'!B34,0))+IF(A60=1,INT((R60+'6. Quellen &amp; Methodik'!B33-1)/'6. Quellen &amp; Methodik'!B33)*'6. Quellen &amp; Methodik'!B31,0)</f>
        <v/>
      </c>
      <c r="F60" s="135">
        <f>IF(A60=1,'6. Quellen &amp; Methodik'!B16+MIN(Q60,50)*'6. Quellen &amp; Methodik'!B17+MAX(MIN(Q60-50,200),0)*'6. Quellen &amp; Methodik'!B18+MAX(MIN(Q60-250,750),0)*'6. Quellen &amp; Methodik'!B19+MAX(Q60-1000,0)*'6. Quellen &amp; Methodik'!B20,0)</f>
        <v/>
      </c>
      <c r="G60" s="135">
        <f>IF(OR(A60=1,A60=13,A60=25),'6. Quellen &amp; Methodik'!B36*(C60*'1. Eingaben'!B10*12+E60+F60),0)</f>
        <v/>
      </c>
      <c r="H60" s="135">
        <f>SUM(D60:G60)</f>
        <v/>
      </c>
      <c r="I60" s="160">
        <f>'4. Szenarien'!B6*(1-(1-'4. Szenarien'!B13)*POWER(0.5,(A60-1)/'4. Szenarien'!B14))</f>
        <v/>
      </c>
      <c r="J60" s="160">
        <f>'4. Szenarien'!B7*(1-(1-'4. Szenarien'!B13)*POWER(0.5,(A60-1)/'4. Szenarien'!B14))</f>
        <v/>
      </c>
      <c r="K60" s="135">
        <f>Q60*I60*'4. Szenarien'!D6*'1. Eingaben'!B9</f>
        <v/>
      </c>
      <c r="L60" s="135">
        <f>Q60*J60*'4. Szenarien'!D7*'1. Eingaben'!B9</f>
        <v/>
      </c>
      <c r="M60" s="135">
        <f>M59+K60-H60</f>
        <v/>
      </c>
      <c r="N60" s="135">
        <f>N59+L60-H60</f>
        <v/>
      </c>
      <c r="O60" s="81">
        <f>IF(M60&gt;=0,A60,99)</f>
        <v/>
      </c>
      <c r="P60" s="81">
        <f>IF(N60&gt;=0,A60,99)</f>
        <v/>
      </c>
      <c r="Q60">
        <f>'1. Eingaben'!B11</f>
        <v/>
      </c>
      <c r="R60">
        <f>MAX(Q60-C60,0)</f>
        <v/>
      </c>
    </row>
    <row r="61">
      <c r="A61" s="137" t="n">
        <v>36</v>
      </c>
      <c r="B61" s="137">
        <f>INT((A61-1)/12)+1</f>
        <v/>
      </c>
      <c r="C61" s="137">
        <f>'1. Eingaben'!B8</f>
        <v/>
      </c>
      <c r="D61" s="135">
        <f>C61*'1. Eingaben'!B10</f>
        <v/>
      </c>
      <c r="E61" s="135">
        <f>IF(A61=1,INT((C61+'6. Quellen &amp; Methodik'!B33-1)/'6. Quellen &amp; Methodik'!B33)*('6. Quellen &amp; Methodik'!B31+'6. Quellen &amp; Methodik'!B32*'6. Quellen &amp; Methodik'!B35),IF(OR(A61=13,A61=25),INT((C61+'6. Quellen &amp; Methodik'!B33-1)/'6. Quellen &amp; Methodik'!B33)*('6. Quellen &amp; Methodik'!B31+'6. Quellen &amp; Methodik'!B32*'6. Quellen &amp; Methodik'!B35)*'6. Quellen &amp; Methodik'!B34,0))+IF(A61=1,INT((R61+'6. Quellen &amp; Methodik'!B33-1)/'6. Quellen &amp; Methodik'!B33)*'6. Quellen &amp; Methodik'!B31,0)</f>
        <v/>
      </c>
      <c r="F61" s="135">
        <f>IF(A61=1,'6. Quellen &amp; Methodik'!B16+MIN(Q61,50)*'6. Quellen &amp; Methodik'!B17+MAX(MIN(Q61-50,200),0)*'6. Quellen &amp; Methodik'!B18+MAX(MIN(Q61-250,750),0)*'6. Quellen &amp; Methodik'!B19+MAX(Q61-1000,0)*'6. Quellen &amp; Methodik'!B20,0)</f>
        <v/>
      </c>
      <c r="G61" s="135">
        <f>IF(OR(A61=1,A61=13,A61=25),'6. Quellen &amp; Methodik'!B36*(C61*'1. Eingaben'!B10*12+E61+F61),0)</f>
        <v/>
      </c>
      <c r="H61" s="135">
        <f>SUM(D61:G61)</f>
        <v/>
      </c>
      <c r="I61" s="160">
        <f>'4. Szenarien'!B6*(1-(1-'4. Szenarien'!B13)*POWER(0.5,(A61-1)/'4. Szenarien'!B14))</f>
        <v/>
      </c>
      <c r="J61" s="160">
        <f>'4. Szenarien'!B7*(1-(1-'4. Szenarien'!B13)*POWER(0.5,(A61-1)/'4. Szenarien'!B14))</f>
        <v/>
      </c>
      <c r="K61" s="135">
        <f>Q61*I61*'4. Szenarien'!D6*'1. Eingaben'!B9</f>
        <v/>
      </c>
      <c r="L61" s="135">
        <f>Q61*J61*'4. Szenarien'!D7*'1. Eingaben'!B9</f>
        <v/>
      </c>
      <c r="M61" s="135">
        <f>M60+K61-H61</f>
        <v/>
      </c>
      <c r="N61" s="135">
        <f>N60+L61-H61</f>
        <v/>
      </c>
      <c r="O61" s="81">
        <f>IF(M61&gt;=0,A61,99)</f>
        <v/>
      </c>
      <c r="P61" s="81">
        <f>IF(N61&gt;=0,A61,99)</f>
        <v/>
      </c>
      <c r="Q61">
        <f>'1. Eingaben'!B11</f>
        <v/>
      </c>
      <c r="R61">
        <f>MAX(Q61-C61,0)</f>
        <v/>
      </c>
    </row>
  </sheetData>
  <sheetProtection selectLockedCells="0" selectUnlockedCells="0" sheet="1" objects="1" insertRows="1" insertHyperlinks="1" autoFilter="1" scenarios="1" formatColumns="1" deleteColumns="1" insertColumns="1" pivotTables="1" deleteRows="1" formatCells="1" formatRows="1" sort="1"/>
  <mergeCells count="3">
    <mergeCell ref="A1:P1"/>
    <mergeCell ref="A24:N24"/>
    <mergeCell ref="A17:H17"/>
  </mergeCells>
  <conditionalFormatting sqref="B11:C11">
    <cfRule type="cellIs" priority="1" operator="greaterThan" dxfId="0">
      <formula>0</formula>
    </cfRule>
    <cfRule type="cellIs" priority="2" operator="lessThan" dxfId="1">
      <formula>0</formula>
    </cfRule>
    <cfRule type="cellIs" priority="3" operator="equal" dxfId="2">
      <formula>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7"/>
  <sheetViews>
    <sheetView showGridLines="0" workbookViewId="0">
      <selection activeCell="A1" sqref="A1"/>
    </sheetView>
  </sheetViews>
  <sheetFormatPr baseColWidth="8" defaultRowHeight="15"/>
  <cols>
    <col width="39" customWidth="1" min="1" max="1"/>
    <col width="54" customWidth="1" min="2" max="2"/>
    <col width="65" customWidth="1" min="3" max="3"/>
    <col width="24" customWidth="1" min="4" max="4"/>
    <col width="31" customWidth="1" min="5" max="5"/>
    <col width="46" customWidth="1" min="6" max="6"/>
  </cols>
  <sheetData>
    <row r="1" ht="32" customHeight="1">
      <c r="A1" s="3" t="inlineStr">
        <is>
          <t>QUELLEN, METHODIK UND PRÜFUNGEN</t>
        </is>
      </c>
    </row>
    <row r="3" ht="22" customHeight="1">
      <c r="A3" s="123" t="inlineStr">
        <is>
          <t>BERECHNUNGSLOGIK</t>
        </is>
      </c>
      <c r="B3" s="124" t="n"/>
      <c r="C3" s="124" t="n"/>
      <c r="D3" s="124" t="n"/>
      <c r="E3" s="124" t="n"/>
      <c r="F3" s="125" t="n"/>
    </row>
    <row r="4">
      <c r="A4" s="18" t="inlineStr">
        <is>
          <t>Schritt</t>
        </is>
      </c>
      <c r="B4" s="18" t="inlineStr">
        <is>
          <t>Formel / Bedeutung</t>
        </is>
      </c>
      <c r="C4" s="124" t="n"/>
      <c r="D4" s="124" t="n"/>
      <c r="E4" s="124" t="n"/>
      <c r="F4" s="125" t="n"/>
    </row>
    <row r="5">
      <c r="A5" s="20" t="inlineStr">
        <is>
          <t>1. Assistenz-Baseline im Kompetenzaufbau</t>
        </is>
      </c>
      <c r="B5" s="50" t="inlineStr">
        <is>
          <t>Ziel-Zeitersparnis × [1 − (1 − Startanteil) × 0,5^((Monat−1) ÷ Halbwertszeit)]. Die Zielgröße ist eine vorsichtige Planungsbasis, keine langfristige Obergrenze.</t>
        </is>
      </c>
      <c r="C5" s="124" t="n"/>
      <c r="D5" s="124" t="n"/>
      <c r="E5" s="124" t="n"/>
      <c r="F5" s="125" t="n"/>
    </row>
    <row r="6">
      <c r="A6" s="20" t="inlineStr">
        <is>
          <t>2. Gesparte Stunden</t>
        </is>
      </c>
      <c r="B6" s="50" t="inlineStr">
        <is>
          <t>Alle Microsoft-365-Nutzer (mit und ohne Copilot-Lizenz) × durchschnittliche Zeitersparnis je Person</t>
        </is>
      </c>
      <c r="C6" s="124" t="n"/>
      <c r="D6" s="124" t="n"/>
      <c r="E6" s="124" t="n"/>
      <c r="F6" s="125" t="n"/>
    </row>
    <row r="7">
      <c r="A7" s="20" t="inlineStr">
        <is>
          <t>3. Realisierter Nutzen</t>
        </is>
      </c>
      <c r="B7" s="50" t="inlineStr">
        <is>
          <t>Gesparte Stunden × Vollkosten-Stundensatz × 50% wirtschaftliche Realisierung</t>
        </is>
      </c>
      <c r="C7" s="124" t="n"/>
      <c r="D7" s="124" t="n"/>
      <c r="E7" s="124" t="n"/>
      <c r="F7" s="125" t="n"/>
    </row>
    <row r="8">
      <c r="A8" s="20" t="inlineStr">
        <is>
          <t>4. Training</t>
        </is>
      </c>
      <c r="B8" s="50" t="inlineStr">
        <is>
          <t>Lizenz-Nutzer: Jahr 1 Kick-off + Lernreise 100%, Jahr 2/3 je 50% Weiterbildung. Nutzer ohne Lizenz (nur Copilot Chat): einmaliger Kick-off in Jahr 1, kein Folgejahr.</t>
        </is>
      </c>
      <c r="C8" s="124" t="n"/>
      <c r="D8" s="124" t="n"/>
      <c r="E8" s="124" t="n"/>
      <c r="F8" s="125" t="n"/>
    </row>
    <row r="9">
      <c r="A9" s="20" t="inlineStr">
        <is>
          <t>5. IT-Setup</t>
        </is>
      </c>
      <c r="B9" s="50" t="inlineStr">
        <is>
          <t>2.500 € Grundaufwand + degressive Nutzerstaffel über ALLE Nutzer (Lizenz+Chat); nur Jahr 1</t>
        </is>
      </c>
      <c r="C9" s="124" t="n"/>
      <c r="D9" s="124" t="n"/>
      <c r="E9" s="124" t="n"/>
      <c r="F9" s="125" t="n"/>
    </row>
    <row r="10">
      <c r="A10" s="20" t="inlineStr">
        <is>
          <t>6. Change &amp; Adoption</t>
        </is>
      </c>
      <c r="B10" s="50" t="inlineStr">
        <is>
          <t>12% der jährlichen Lizenz-, Trainings- und IT-Basiskosten</t>
        </is>
      </c>
      <c r="C10" s="124" t="n"/>
      <c r="D10" s="124" t="n"/>
      <c r="E10" s="124" t="n"/>
      <c r="F10" s="125" t="n"/>
    </row>
    <row r="11">
      <c r="A11" s="20" t="inlineStr">
        <is>
          <t>7. ROI</t>
        </is>
      </c>
      <c r="B11" s="50" t="inlineStr">
        <is>
          <t>(Realisierter Nutzen − Gesamtkosten) ÷ Gesamtkosten. &gt; 0% = Netto-Nutzen; 0% = Break-even; &lt; 0% = Kosten noch nicht gedeckt. 100% bedeutet: gesamter Nutzen ist doppelt so hoch wie die Kosten.</t>
        </is>
      </c>
      <c r="C11" s="124" t="n"/>
      <c r="D11" s="124" t="n"/>
      <c r="E11" s="124" t="n"/>
      <c r="F11" s="125" t="n"/>
    </row>
    <row r="12">
      <c r="A12" s="20" t="inlineStr">
        <is>
          <t>8. Kostenzeitpunkt</t>
        </is>
      </c>
      <c r="B12" s="50" t="inlineStr">
        <is>
          <t>Jahreslizenzen monatlich; Training, IT und Change im ersten Monat des jeweiligen Jahres</t>
        </is>
      </c>
      <c r="C12" s="124" t="n"/>
      <c r="D12" s="124" t="n"/>
      <c r="E12" s="124" t="n"/>
      <c r="F12" s="125" t="n"/>
    </row>
    <row r="14" ht="22" customHeight="1">
      <c r="A14" s="123" t="inlineStr">
        <is>
          <t>IT-STAFFEL – INTERNE PLANUNGSANNAHME</t>
        </is>
      </c>
      <c r="B14" s="124" t="n"/>
      <c r="C14" s="124" t="n"/>
      <c r="D14" s="124" t="n"/>
      <c r="E14" s="124" t="n"/>
      <c r="F14" s="125" t="n"/>
    </row>
    <row r="15">
      <c r="A15" s="18" t="inlineStr">
        <is>
          <t>Baustein</t>
        </is>
      </c>
      <c r="B15" s="18" t="inlineStr">
        <is>
          <t>Ansatz</t>
        </is>
      </c>
      <c r="C15" s="18" t="inlineStr">
        <is>
          <t>Bereich</t>
        </is>
      </c>
      <c r="D15" s="18" t="inlineStr">
        <is>
          <t>Begründung</t>
        </is>
      </c>
      <c r="E15" s="18" t="inlineStr">
        <is>
          <t>Typ</t>
        </is>
      </c>
      <c r="F15" s="18" t="inlineStr">
        <is>
          <t>Hinweis</t>
        </is>
      </c>
    </row>
    <row r="16">
      <c r="A16" s="50" t="inlineStr">
        <is>
          <t>Grundaufwand</t>
        </is>
      </c>
      <c r="B16" s="162" t="n">
        <v>2500</v>
      </c>
      <c r="C16" s="50" t="inlineStr">
        <is>
          <t>jede Einführung</t>
        </is>
      </c>
      <c r="D16" s="50" t="inlineStr">
        <is>
          <t>Tenant-Prüfung, Grundkonzept, Koordination</t>
        </is>
      </c>
      <c r="E16" s="50" t="inlineStr">
        <is>
          <t>Modellannahme</t>
        </is>
      </c>
      <c r="F16" s="50" t="inlineStr">
        <is>
          <t>Geschützte Modellannahme</t>
        </is>
      </c>
    </row>
    <row r="17">
      <c r="A17" s="50" t="inlineStr">
        <is>
          <t>Stufe 1</t>
        </is>
      </c>
      <c r="B17" s="162" t="n">
        <v>150</v>
      </c>
      <c r="C17" s="50" t="inlineStr">
        <is>
          <t>Nutzer 1–50</t>
        </is>
      </c>
      <c r="D17" s="50" t="inlineStr">
        <is>
          <t>Hoher Aufwand je Nutzer bei kleinen Rollouts</t>
        </is>
      </c>
      <c r="E17" s="50" t="inlineStr">
        <is>
          <t>Modellannahme</t>
        </is>
      </c>
      <c r="F17" s="50" t="inlineStr">
        <is>
          <t>Grenzkosten je Nutzer</t>
        </is>
      </c>
    </row>
    <row r="18">
      <c r="A18" s="50" t="inlineStr">
        <is>
          <t>Stufe 2</t>
        </is>
      </c>
      <c r="B18" s="162" t="n">
        <v>75</v>
      </c>
      <c r="C18" s="50" t="inlineStr">
        <is>
          <t>Nutzer 51–250</t>
        </is>
      </c>
      <c r="D18" s="50" t="inlineStr">
        <is>
          <t>Erste Skaleneffekte</t>
        </is>
      </c>
      <c r="E18" s="50" t="inlineStr">
        <is>
          <t>Modellannahme</t>
        </is>
      </c>
      <c r="F18" s="50" t="inlineStr">
        <is>
          <t>Grenzkosten je Nutzer</t>
        </is>
      </c>
    </row>
    <row r="19">
      <c r="A19" s="50" t="inlineStr">
        <is>
          <t>Stufe 3</t>
        </is>
      </c>
      <c r="B19" s="162" t="n">
        <v>40</v>
      </c>
      <c r="C19" s="50" t="inlineStr">
        <is>
          <t>Nutzer 251–1.000</t>
        </is>
      </c>
      <c r="D19" s="50" t="inlineStr">
        <is>
          <t>Standardisierung und Wiederverwendung</t>
        </is>
      </c>
      <c r="E19" s="50" t="inlineStr">
        <is>
          <t>Modellannahme</t>
        </is>
      </c>
      <c r="F19" s="50" t="inlineStr">
        <is>
          <t>Grenzkosten je Nutzer</t>
        </is>
      </c>
    </row>
    <row r="20">
      <c r="A20" s="50" t="inlineStr">
        <is>
          <t>Stufe 4</t>
        </is>
      </c>
      <c r="B20" s="162" t="n">
        <v>20</v>
      </c>
      <c r="C20" s="50" t="inlineStr">
        <is>
          <t>ab Nutzer 1.001</t>
        </is>
      </c>
      <c r="D20" s="50" t="inlineStr">
        <is>
          <t>Weitere Skaleneffekte, aber zusätzliche Governance</t>
        </is>
      </c>
      <c r="E20" s="50" t="inlineStr">
        <is>
          <t>Modellannahme</t>
        </is>
      </c>
      <c r="F20" s="50" t="inlineStr">
        <is>
          <t>Grenzkosten je Nutzer</t>
        </is>
      </c>
    </row>
    <row r="22" ht="22" customHeight="1">
      <c r="A22" s="123" t="inlineStr">
        <is>
          <t>QUELLEN UND EINORDNUNG</t>
        </is>
      </c>
      <c r="B22" s="124" t="n"/>
      <c r="C22" s="124" t="n"/>
      <c r="D22" s="124" t="n"/>
      <c r="E22" s="124" t="n"/>
      <c r="F22" s="125" t="n"/>
    </row>
    <row r="23">
      <c r="A23" s="18" t="inlineStr">
        <is>
          <t>Thema</t>
        </is>
      </c>
      <c r="B23" s="18" t="inlineStr">
        <is>
          <t>Verwendete Aussage</t>
        </is>
      </c>
      <c r="C23" s="18" t="inlineStr">
        <is>
          <t>Quelle</t>
        </is>
      </c>
      <c r="D23" s="18" t="inlineStr">
        <is>
          <t>Stand</t>
        </is>
      </c>
      <c r="E23" s="18" t="inlineStr">
        <is>
          <t>Typ</t>
        </is>
      </c>
      <c r="F23" s="18" t="inlineStr">
        <is>
          <t>Hinweis</t>
        </is>
      </c>
    </row>
    <row r="24">
      <c r="A24" s="50" t="inlineStr">
        <is>
          <t>Zeitersparnis</t>
        </is>
      </c>
      <c r="B24" s="50" t="inlineStr">
        <is>
          <t>Typische allgemeine Nutzer: 8 Std./Monat; Modellwert: 9 Std.; hoch entwickelte Nutzer: bis 20 Std.</t>
        </is>
      </c>
      <c r="C24" s="50" t="inlineStr">
        <is>
          <t>https://tei.forrester.com/go/microsoft/M365Copilot/?lang=en-us</t>
        </is>
      </c>
      <c r="D24" s="50" t="inlineStr">
        <is>
          <t>März 2025</t>
        </is>
      </c>
      <c r="E24" s="50" t="inlineStr">
        <is>
          <t>Microsoft-beauftragte Forrester-TEI-Studie</t>
        </is>
      </c>
      <c r="F24" s="50" t="inlineStr">
        <is>
          <t>Realistisches Szenario nutzt 8 Std.; kein garantierter Kundenwert</t>
        </is>
      </c>
    </row>
    <row r="25">
      <c r="A25" s="50" t="inlineStr">
        <is>
          <t>Realisierungsfaktor</t>
        </is>
      </c>
      <c r="B25" s="50" t="inlineStr">
        <is>
          <t>Forrester verwendet 50% Productivity Recapture</t>
        </is>
      </c>
      <c r="C25" s="50" t="inlineStr">
        <is>
          <t>https://tei.forrester.com/go/microsoft/M365Copilot/?lang=en-us</t>
        </is>
      </c>
      <c r="D25" s="50" t="inlineStr">
        <is>
          <t>März 2025</t>
        </is>
      </c>
      <c r="E25" s="50" t="inlineStr">
        <is>
          <t>Studienannahme</t>
        </is>
      </c>
      <c r="F25" s="50" t="inlineStr">
        <is>
          <t>Im Rechner separat ausgewiesen</t>
        </is>
      </c>
    </row>
    <row r="26">
      <c r="A26" s="50" t="inlineStr">
        <is>
          <t>Kompetenzaufbau</t>
        </is>
      </c>
      <c r="B26" s="50" t="inlineStr">
        <is>
          <t>Mindestens 12 Wochen bis Vertrautheit; etwa 3 Monate bis Kompetenz</t>
        </is>
      </c>
      <c r="C26" s="50" t="inlineStr">
        <is>
          <t>https://tei.forrester.com/go/microsoft/M365Copilot/?lang=en-us</t>
        </is>
      </c>
      <c r="D26" s="50" t="inlineStr">
        <is>
          <t>März 2025</t>
        </is>
      </c>
      <c r="E26" s="50" t="inlineStr">
        <is>
          <t>Forrester-Interviews</t>
        </is>
      </c>
      <c r="F26" s="50" t="inlineStr">
        <is>
          <t>Stützt schnellen Start plus weitere Entwicklung</t>
        </is>
      </c>
    </row>
    <row r="27">
      <c r="A27" s="50" t="inlineStr">
        <is>
          <t>Laufende Adoption</t>
        </is>
      </c>
      <c r="B27" s="50" t="inlineStr">
        <is>
          <t>Adoption-Community-Nutzer hatten 30% mehr aktive Tage über 12 Wochen</t>
        </is>
      </c>
      <c r="C27" s="50" t="inlineStr">
        <is>
          <t>https://adoption.microsoft.com/en-us/copilot/adoption-community/</t>
        </is>
      </c>
      <c r="D27" s="50" t="inlineStr">
        <is>
          <t>Juli 2025</t>
        </is>
      </c>
      <c r="E27" s="50" t="inlineStr">
        <is>
          <t>Interne Microsoft-Analyse</t>
        </is>
      </c>
      <c r="F27" s="50" t="inlineStr">
        <is>
          <t>Stützt fortlaufendes Lernen und Community-Begleitung</t>
        </is>
      </c>
    </row>
    <row r="29" ht="22" customHeight="1">
      <c r="A29" s="123" t="inlineStr">
        <is>
          <t>INTERNES ANGEBOTSMODELL COPILOTENSCHULE</t>
        </is>
      </c>
      <c r="B29" s="124" t="n"/>
      <c r="C29" s="124" t="n"/>
      <c r="D29" s="124" t="n"/>
      <c r="E29" s="124" t="n"/>
      <c r="F29" s="125" t="n"/>
    </row>
    <row r="30">
      <c r="A30" s="18" t="inlineStr">
        <is>
          <t>Baustein</t>
        </is>
      </c>
      <c r="B30" s="18" t="inlineStr">
        <is>
          <t>Wert</t>
        </is>
      </c>
      <c r="C30" s="18" t="inlineStr">
        <is>
          <t>Einheit</t>
        </is>
      </c>
      <c r="D30" s="18" t="inlineStr">
        <is>
          <t>Quelle</t>
        </is>
      </c>
      <c r="E30" s="18" t="inlineStr">
        <is>
          <t>Stand</t>
        </is>
      </c>
      <c r="F30" s="18" t="inlineStr">
        <is>
          <t>Hinweis</t>
        </is>
      </c>
    </row>
    <row r="31">
      <c r="A31" s="20" t="inlineStr">
        <is>
          <t>Kick-off je Gruppe</t>
        </is>
      </c>
      <c r="B31" s="135" t="n">
        <v>1800</v>
      </c>
      <c r="C31" s="20" t="inlineStr">
        <is>
          <t>€</t>
        </is>
      </c>
      <c r="D31" s="20" t="inlineStr">
        <is>
          <t>Interne Preisangabe</t>
        </is>
      </c>
      <c r="E31" s="20" t="inlineStr">
        <is>
          <t>27.07.2026</t>
        </is>
      </c>
      <c r="F31" s="20" t="inlineStr">
        <is>
          <t>Gängigstes Modell</t>
        </is>
      </c>
    </row>
    <row r="32">
      <c r="A32" s="20" t="inlineStr">
        <is>
          <t>Anzahl Lernreise-Termine</t>
        </is>
      </c>
      <c r="B32" s="137" t="n">
        <v>4</v>
      </c>
      <c r="C32" s="20" t="inlineStr">
        <is>
          <t>Termine</t>
        </is>
      </c>
      <c r="D32" s="20" t="inlineStr">
        <is>
          <t>Interne Preisangabe</t>
        </is>
      </c>
      <c r="E32" s="20" t="inlineStr">
        <is>
          <t>27.07.2026</t>
        </is>
      </c>
      <c r="F32" s="20" t="inlineStr">
        <is>
          <t>Je Gruppe</t>
        </is>
      </c>
    </row>
    <row r="33">
      <c r="A33" s="20" t="inlineStr">
        <is>
          <t>Gruppengröße</t>
        </is>
      </c>
      <c r="B33" s="137" t="n">
        <v>12</v>
      </c>
      <c r="C33" s="20" t="inlineStr">
        <is>
          <t>Personen</t>
        </is>
      </c>
      <c r="D33" s="20" t="inlineStr">
        <is>
          <t>Interne Preisangabe</t>
        </is>
      </c>
      <c r="E33" s="20" t="inlineStr">
        <is>
          <t>27.07.2026</t>
        </is>
      </c>
      <c r="F33" s="20" t="inlineStr">
        <is>
          <t>5.000 € je Gruppe = 416,67 € je Platz</t>
        </is>
      </c>
    </row>
    <row r="34">
      <c r="A34" s="20" t="inlineStr">
        <is>
          <t>Weiterbildung Folgejahre</t>
        </is>
      </c>
      <c r="B34" s="136" t="n">
        <v>0.5</v>
      </c>
      <c r="C34" s="20" t="inlineStr">
        <is>
          <t>% von Jahr 1</t>
        </is>
      </c>
      <c r="D34" s="20" t="inlineStr">
        <is>
          <t>Planungsannahme</t>
        </is>
      </c>
      <c r="E34" s="20" t="inlineStr">
        <is>
          <t>27.07.2026</t>
        </is>
      </c>
      <c r="F34" s="20" t="inlineStr">
        <is>
          <t>Jeweils in Jahr 2 und Jahr 3</t>
        </is>
      </c>
    </row>
    <row r="35">
      <c r="A35" s="20" t="inlineStr">
        <is>
          <t>Preis je Lernreise-Termin</t>
        </is>
      </c>
      <c r="B35" s="135" t="n">
        <v>800</v>
      </c>
      <c r="C35" s="20" t="inlineStr">
        <is>
          <t>€</t>
        </is>
      </c>
      <c r="D35" s="20" t="inlineStr">
        <is>
          <t>Interne Preisangabe</t>
        </is>
      </c>
      <c r="E35" s="20" t="inlineStr">
        <is>
          <t>27.07.2026</t>
        </is>
      </c>
      <c r="F35" s="20" t="inlineStr">
        <is>
          <t>Vier Termine ergeben 3.200 € je Gruppe</t>
        </is>
      </c>
    </row>
    <row r="36">
      <c r="A36" s="20" t="inlineStr">
        <is>
          <t>Change &amp; Adoption</t>
        </is>
      </c>
      <c r="B36" s="136" t="n">
        <v>0.12</v>
      </c>
      <c r="C36" s="20" t="inlineStr">
        <is>
          <t>% der jährlichen Basis</t>
        </is>
      </c>
      <c r="D36" s="20" t="inlineStr">
        <is>
          <t>Planungsannahme</t>
        </is>
      </c>
      <c r="E36" s="20" t="inlineStr">
        <is>
          <t>27.07.2026</t>
        </is>
      </c>
      <c r="F36" s="20" t="inlineStr">
        <is>
          <t>Lizenzen, Training und IT-Setup</t>
        </is>
      </c>
    </row>
    <row r="37" ht="22" customHeight="1">
      <c r="A37" s="123" t="inlineStr">
        <is>
          <t>MODELLPRÜFUNGEN</t>
        </is>
      </c>
      <c r="B37" s="124" t="n"/>
      <c r="C37" s="124" t="n"/>
      <c r="D37" s="124" t="n"/>
      <c r="E37" s="124" t="n"/>
      <c r="F37" s="125" t="n"/>
    </row>
    <row r="38">
      <c r="A38" s="18" t="inlineStr">
        <is>
          <t>Prüfung</t>
        </is>
      </c>
      <c r="B38" s="18" t="inlineStr">
        <is>
          <t>Status</t>
        </is>
      </c>
      <c r="C38" s="18" t="inlineStr">
        <is>
          <t>Hinweis</t>
        </is>
      </c>
    </row>
    <row r="39">
      <c r="A39" s="20" t="inlineStr">
        <is>
          <t>Nutzerzahl &gt; 0</t>
        </is>
      </c>
      <c r="B39" s="43">
        <f>IF('1. Eingaben'!B8&gt;0,"OK","PRÜFEN")</f>
        <v/>
      </c>
      <c r="C39" s="20" t="inlineStr">
        <is>
          <t>1. Eingaben!B8</t>
        </is>
      </c>
    </row>
    <row r="40">
      <c r="A40" s="20" t="inlineStr">
        <is>
          <t>Gruppengröße &gt; 0</t>
        </is>
      </c>
      <c r="B40" s="43">
        <f>IF(B33&gt;0,"OK","PRÜFEN")</f>
        <v/>
      </c>
      <c r="C40" s="20" t="inlineStr">
        <is>
          <t>6. Quellen &amp; Methodik!B33</t>
        </is>
      </c>
    </row>
    <row r="41">
      <c r="A41" s="20" t="inlineStr">
        <is>
          <t>Folgejahresfaktor 0–100%</t>
        </is>
      </c>
      <c r="B41" s="43">
        <f>IF(AND(B34&gt;=0,B34&lt;=1),"OK","PRÜFEN")</f>
        <v/>
      </c>
      <c r="C41" s="20" t="inlineStr">
        <is>
          <t>6. Quellen &amp; Methodik!B34</t>
        </is>
      </c>
    </row>
    <row r="42">
      <c r="A42" s="20" t="inlineStr">
        <is>
          <t>IT-Setup steigt mit Nutzerzahl</t>
        </is>
      </c>
      <c r="B42" s="43">
        <f>IF('5. Berechnung'!F19&gt;0,"OK","PRÜFEN")</f>
        <v/>
      </c>
      <c r="C42" s="20" t="inlineStr">
        <is>
          <t>5. Berechnung!F19</t>
        </is>
      </c>
    </row>
    <row r="43">
      <c r="A43" s="20" t="inlineStr">
        <is>
          <t>Ziel-Zeitersparnis 0–20 Std./Monat</t>
        </is>
      </c>
      <c r="B43" s="43">
        <f>IF(AND(MIN('4. Szenarien'!B6:B7)&gt;=0,MAX('4. Szenarien'!B6:B7)&lt;=20),"OK","PRÜFEN")</f>
        <v/>
      </c>
      <c r="C43" s="20" t="inlineStr">
        <is>
          <t>4. Szenarien!B6:B7</t>
        </is>
      </c>
    </row>
    <row r="44">
      <c r="A44" s="20" t="inlineStr">
        <is>
          <t>Realisierungsfaktor 0–100%</t>
        </is>
      </c>
      <c r="B44" s="43">
        <f>IF(AND(MIN('4. Szenarien'!D6:D7)&gt;=0,MAX('4. Szenarien'!D6:D7)&lt;=1),"OK","PRÜFEN")</f>
        <v/>
      </c>
      <c r="C44" s="20" t="inlineStr">
        <is>
          <t>4. Szenarien!D6:D7</t>
        </is>
      </c>
    </row>
    <row r="45">
      <c r="A45" s="20" t="inlineStr">
        <is>
          <t>36 Monatszeilen vorhanden</t>
        </is>
      </c>
      <c r="B45" s="43">
        <f>IF(AND(MIN('5. Berechnung'!A26:A61)=1,MAX('5. Berechnung'!A26:A61)=36),"OK","PRÜFEN")</f>
        <v/>
      </c>
      <c r="C45" s="20" t="inlineStr">
        <is>
          <t>5. Berechnung!A26:A61</t>
        </is>
      </c>
    </row>
    <row r="46">
      <c r="A46" s="20" t="inlineStr">
        <is>
          <t>Gesamtstatus</t>
        </is>
      </c>
      <c r="B46" s="122">
        <f>IF(COUNTIF(B39:B45,"PRÜFEN")=0,"PASS","PRÜFEN")</f>
        <v/>
      </c>
      <c r="C46" s="20" t="inlineStr">
        <is>
          <t>Alle Prüfungen müssen OK sein</t>
        </is>
      </c>
    </row>
    <row r="48">
      <c r="A48" t="inlineStr">
        <is>
          <t>Zusatzprüfung: Lizenzen ≤ Gesamt-Nutzer</t>
        </is>
      </c>
      <c r="B48" s="163">
        <f>IF('1. Eingaben'!B8&lt;='1. Eingaben'!B11,"OK","PRÜFEN")</f>
        <v/>
      </c>
      <c r="C48" t="inlineStr">
        <is>
          <t>1. Eingaben!B8 &lt;= 1. Eingaben!B11</t>
        </is>
      </c>
    </row>
    <row r="49" ht="22" customHeight="1">
      <c r="A49" s="123" t="inlineStr">
        <is>
          <t>AKTUELLE PLAUSIBILITÄTSPRÜFUNG – NICHT IN DEN FORMELN VERWENDET</t>
        </is>
      </c>
      <c r="B49" s="124" t="n"/>
      <c r="C49" s="124" t="n"/>
      <c r="D49" s="124" t="n"/>
      <c r="E49" s="124" t="n"/>
      <c r="F49" s="125" t="n"/>
    </row>
    <row r="50">
      <c r="A50" s="18" t="inlineStr">
        <is>
          <t>Studie</t>
        </is>
      </c>
      <c r="B50" s="18" t="inlineStr">
        <is>
          <t>Ergebnis</t>
        </is>
      </c>
      <c r="C50" s="18" t="inlineStr">
        <is>
          <t>Quelle</t>
        </is>
      </c>
      <c r="D50" s="18" t="inlineStr">
        <is>
          <t>Stand</t>
        </is>
      </c>
      <c r="E50" s="18" t="inlineStr">
        <is>
          <t>Einordnung</t>
        </is>
      </c>
      <c r="F50" s="18" t="inlineStr">
        <is>
          <t>Verwendung im Modell</t>
        </is>
      </c>
    </row>
    <row r="51">
      <c r="A51" s="50" t="inlineStr">
        <is>
          <t>DWP Microsoft 365 Copilot Evaluation</t>
        </is>
      </c>
      <c r="B51" s="50" t="inlineStr">
        <is>
          <t>19 Min./Tag ≈ 6,9 Std./Monat</t>
        </is>
      </c>
      <c r="C51" s="50" t="inlineStr">
        <is>
          <t>https://www.gov.uk/government/publications/an-evaluation-of-dwps-microsoft-copilot-365-trial/an-evaluation-of-dwps-microsoft-365-copilot-trial</t>
        </is>
      </c>
      <c r="D51" s="50" t="inlineStr">
        <is>
          <t>Januar 2026</t>
        </is>
      </c>
      <c r="E51" s="50" t="inlineStr">
        <is>
          <t>Unterhalb von 8 Std.; Vergleichsgruppe und Regression, aber selbstberichtete Zeitwerte</t>
        </is>
      </c>
      <c r="F51" s="50" t="inlineStr">
        <is>
          <t>Nur Plausibilitätsprüfung</t>
        </is>
      </c>
    </row>
    <row r="52">
      <c r="A52" s="50" t="inlineStr">
        <is>
          <t>UK Cross-Government Copilot Experiment</t>
        </is>
      </c>
      <c r="B52" s="50" t="inlineStr">
        <is>
          <t>26 Min./Tag ≈ 9,4 Std./Monat</t>
        </is>
      </c>
      <c r="C52" s="50" t="inlineStr">
        <is>
          <t>https://www.gov.uk/government/publications/microsoft-365-copilot-experiment-cross-government-findings-report/microsoft-365-copilot-experiment-cross-government-findings-report-html</t>
        </is>
      </c>
      <c r="D52" s="50" t="inlineStr">
        <is>
          <t>Juni 2025</t>
        </is>
      </c>
      <c r="E52" s="50" t="inlineStr">
        <is>
          <t>Nahe am studiennahen Szenario; selbstberichtete Zeitwerte</t>
        </is>
      </c>
      <c r="F52" s="50" t="inlineStr">
        <is>
          <t>Nur Plausibilitätsprüfung</t>
        </is>
      </c>
    </row>
    <row r="53">
      <c r="A53" s="50" t="inlineStr">
        <is>
          <t>OECD: Generative AI und Produktivität</t>
        </is>
      </c>
      <c r="B53" s="50" t="inlineStr">
        <is>
          <t>Wirkung hängt stark von Aufgabe, Erfahrung und Mensch-KI-Zusammenarbeit ab</t>
        </is>
      </c>
      <c r="C53" s="50" t="inlineStr">
        <is>
          <t>https://www.oecd.org/en/publications/the-effects-of-generative-ai-on-productivity-innovation-and-entrepreneurship_b21df222-en.html</t>
        </is>
      </c>
      <c r="D53" s="50" t="inlineStr">
        <is>
          <t>Juni 2025</t>
        </is>
      </c>
      <c r="E53" s="50" t="inlineStr">
        <is>
          <t>Begründet Szenarien und Erfolgsmessung statt eines universellen Werts</t>
        </is>
      </c>
      <c r="F53" s="50" t="inlineStr">
        <is>
          <t>Nur Plausibilitätsprüfung</t>
        </is>
      </c>
    </row>
    <row r="55">
      <c r="A55" s="156" t="inlineStr">
        <is>
          <t>Abgrenzung: Die verwendeten Zeitwerte betreffen KI überwiegend als persönlichen Assistenten für einzelne Aufgaben. Die Assistenz-Baseline wird nach dem Kompetenzaufbau konstant gehalten, ist aber keine Sättigungsannahme für das gesamte KI-Potenzial. Zusätzlicher Nutzen durch leistungsfähigere Modelle, neue Funktionen und Tools, tiefere Prozessintegration sowie agentische, mehrstufige Tätigkeiten ist nicht eingerechnet. Dadurch bleibt der Business Case auf heute besser belegbare Nutzung begrenzt und enthält bewusst weiteres Aufwärtspotenzial.</t>
        </is>
      </c>
      <c r="B55" s="139" t="n"/>
      <c r="C55" s="139" t="n"/>
      <c r="D55" s="139" t="n"/>
      <c r="E55" s="139" t="n"/>
      <c r="F55" s="140" t="n"/>
    </row>
    <row r="56">
      <c r="A56" s="141" t="n"/>
      <c r="F56" s="142" t="n"/>
    </row>
    <row r="57">
      <c r="A57" s="143" t="n"/>
      <c r="B57" s="144" t="n"/>
      <c r="C57" s="144" t="n"/>
      <c r="D57" s="144" t="n"/>
      <c r="E57" s="144" t="n"/>
      <c r="F57" s="145" t="n"/>
    </row>
  </sheetData>
  <sheetProtection selectLockedCells="0" selectUnlockedCells="0" sheet="1" objects="1" insertRows="1" insertHyperlinks="1" autoFilter="1" scenarios="1" formatColumns="1" deleteColumns="1" insertColumns="1" pivotTables="1" deleteRows="1" formatCells="1" formatRows="1" sort="1"/>
  <mergeCells count="17">
    <mergeCell ref="B4:F4"/>
    <mergeCell ref="A55:F57"/>
    <mergeCell ref="A49:F49"/>
    <mergeCell ref="B12:F12"/>
    <mergeCell ref="B7:F7"/>
    <mergeCell ref="B9:F9"/>
    <mergeCell ref="B6:F6"/>
    <mergeCell ref="A14:F14"/>
    <mergeCell ref="B10:F10"/>
    <mergeCell ref="A1:F1"/>
    <mergeCell ref="B11:F11"/>
    <mergeCell ref="A37:F37"/>
    <mergeCell ref="B5:F5"/>
    <mergeCell ref="A22:F22"/>
    <mergeCell ref="B8:F8"/>
    <mergeCell ref="A3:F3"/>
    <mergeCell ref="A29:F29"/>
  </mergeCells>
  <conditionalFormatting sqref="B39:B46">
    <cfRule type="containsText" priority="1" operator="containsText" dxfId="1" text="PRÜFEN"/>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2026-07-28T13:45:25Z</dcterms:created>
  <dcterms:modified xmlns:dcterms="http://purl.org/dc/terms/" xmlns:xsi="http://www.w3.org/2001/XMLSchema-instance" xsi:type="dcterms:W3CDTF">2026-07-28T13:50:44Z</dcterms:modified>
</cp:coreProperties>
</file>