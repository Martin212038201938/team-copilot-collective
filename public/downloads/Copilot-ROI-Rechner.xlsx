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Eingaben" sheetId="1" state="visible" r:id="rId1"/>
    <sheet xmlns:r="http://schemas.openxmlformats.org/officeDocument/2006/relationships" name="2. Kosten" sheetId="2" state="visible" r:id="rId2"/>
    <sheet xmlns:r="http://schemas.openxmlformats.org/officeDocument/2006/relationships" name="3. Nutzen" sheetId="3" state="visible" r:id="rId3"/>
    <sheet xmlns:r="http://schemas.openxmlformats.org/officeDocument/2006/relationships" name="4. ROI-Dashboard" sheetId="4" state="visible" r:id="rId4"/>
    <sheet xmlns:r="http://schemas.openxmlformats.org/officeDocument/2006/relationships" name="5. Zusammenfassu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+#,##0 €;-#,##0 €"/>
    <numFmt numFmtId="166" formatCode="0.0"/>
  </numFmts>
  <fonts count="13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666666"/>
    </font>
    <font>
      <b val="1"/>
      <sz val="11"/>
    </font>
    <font>
      <b val="1"/>
      <color rgb="00FFFFFF"/>
      <sz val="12"/>
    </font>
    <font>
      <b val="1"/>
      <color rgb="000000FF"/>
    </font>
    <font>
      <i val="1"/>
    </font>
    <font>
      <b val="1"/>
      <sz val="10"/>
    </font>
    <font>
      <color rgb="00666666"/>
      <sz val="9"/>
    </font>
    <font>
      <b val="1"/>
      <color rgb="00375623"/>
    </font>
    <font>
      <b val="1"/>
    </font>
    <font>
      <b val="1"/>
      <color rgb="001F4E79"/>
      <sz val="18"/>
    </font>
    <font>
      <i val="1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BEEF4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5" fillId="4" borderId="1" pivotButton="0" quotePrefix="0" xfId="0"/>
    <xf numFmtId="0" fontId="6" fillId="0" borderId="1" applyAlignment="1" pivotButton="0" quotePrefix="0" xfId="0">
      <alignment horizontal="left"/>
    </xf>
    <xf numFmtId="9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9" fontId="5" fillId="4" borderId="1" pivotButton="0" quotePrefix="0" xfId="0"/>
    <xf numFmtId="0" fontId="12" fillId="0" borderId="0" pivotButton="0" quotePrefix="0" xfId="0"/>
    <xf numFmtId="0" fontId="1" fillId="0" borderId="0" pivotButton="0" quotePrefix="0" xfId="0"/>
    <xf numFmtId="164" fontId="0" fillId="0" borderId="1" applyAlignment="1" pivotButton="0" quotePrefix="0" xfId="0">
      <alignment horizontal="left"/>
    </xf>
    <xf numFmtId="0" fontId="9" fillId="6" borderId="1" pivotButton="0" quotePrefix="0" xfId="0"/>
    <xf numFmtId="164" fontId="9" fillId="6" borderId="1" pivotButton="0" quotePrefix="0" xfId="0"/>
    <xf numFmtId="0" fontId="0" fillId="5" borderId="1" pivotButton="0" quotePrefix="0" xfId="0"/>
    <xf numFmtId="164" fontId="0" fillId="5" borderId="1" pivotButton="0" quotePrefix="0" xfId="0"/>
    <xf numFmtId="3" fontId="0" fillId="5" borderId="1" pivotButton="0" quotePrefix="0" xfId="0"/>
    <xf numFmtId="9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9" fontId="9" fillId="6" borderId="1" pivotButton="0" quotePrefix="0" xfId="0"/>
    <xf numFmtId="166" fontId="9" fillId="6" borderId="1" pivotButton="0" quotePrefix="0" xfId="0"/>
    <xf numFmtId="0" fontId="9" fillId="6" borderId="1" applyAlignment="1" pivotButton="0" quotePrefix="0" xfId="0">
      <alignment horizontal="left"/>
    </xf>
    <xf numFmtId="164" fontId="9" fillId="6" borderId="1" applyAlignment="1" pivotButton="0" quotePrefix="0" xfId="0">
      <alignment horizontal="left"/>
    </xf>
    <xf numFmtId="0" fontId="10" fillId="0" borderId="1" applyAlignment="1" pivotButton="0" quotePrefix="0" xfId="0">
      <alignment horizontal="left"/>
    </xf>
    <xf numFmtId="165" fontId="9" fillId="6" borderId="1" pivotButton="0" quotePrefix="0" xfId="0"/>
    <xf numFmtId="0" fontId="11" fillId="0" borderId="0" pivotButton="0" quotePrefix="0" xfId="0"/>
    <xf numFmtId="3" fontId="9" fillId="6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35" customWidth="1" min="4" max="4"/>
    <col width="5" customWidth="1" min="5" max="5"/>
  </cols>
  <sheetData>
    <row r="1">
      <c r="A1" s="1" t="inlineStr">
        <is>
          <t>COPILOT ROI-RECHNER</t>
        </is>
      </c>
    </row>
    <row r="3">
      <c r="A3" s="2" t="inlineStr">
        <is>
          <t>Tragen Sie Ihre Unternehmensdaten in die GELBEN Felder ein</t>
        </is>
      </c>
    </row>
    <row r="5">
      <c r="A5" s="3" t="inlineStr">
        <is>
          <t>UNTERNEHMENSDATEN</t>
        </is>
      </c>
      <c r="B5" s="4" t="n"/>
      <c r="C5" s="4" t="n"/>
      <c r="D5" s="4" t="n"/>
      <c r="E5" s="5" t="n"/>
    </row>
    <row r="6">
      <c r="A6" s="6" t="inlineStr">
        <is>
          <t>Parameter</t>
        </is>
      </c>
      <c r="B6" s="6" t="inlineStr">
        <is>
          <t>Wert</t>
        </is>
      </c>
      <c r="C6" s="6" t="inlineStr">
        <is>
          <t>Einheit</t>
        </is>
      </c>
      <c r="D6" s="6" t="inlineStr">
        <is>
          <t>Hinweis</t>
        </is>
      </c>
      <c r="E6" s="6" t="inlineStr"/>
    </row>
    <row r="7">
      <c r="A7" s="7" t="inlineStr">
        <is>
          <t>Anzahl Copilot-Nutzer</t>
        </is>
      </c>
      <c r="B7" s="8" t="n">
        <v>300</v>
      </c>
      <c r="C7" s="7" t="inlineStr">
        <is>
          <t>Mitarbeiter</t>
        </is>
      </c>
      <c r="D7" s="7" t="inlineStr">
        <is>
          <t>Geplante Lizenzen</t>
        </is>
      </c>
    </row>
    <row r="8">
      <c r="A8" s="7" t="inlineStr">
        <is>
          <t>Durchschnittlicher Stundensatz</t>
        </is>
      </c>
      <c r="B8" s="8" t="n">
        <v>50</v>
      </c>
      <c r="C8" s="7" t="inlineStr">
        <is>
          <t>€/Stunde</t>
        </is>
      </c>
      <c r="D8" s="7" t="inlineStr">
        <is>
          <t>Vollkosten inkl. Nebenkosten</t>
        </is>
      </c>
    </row>
    <row r="9">
      <c r="A9" s="7" t="inlineStr">
        <is>
          <t>Arbeitsstunden pro Woche</t>
        </is>
      </c>
      <c r="B9" s="8" t="n">
        <v>40</v>
      </c>
      <c r="C9" s="7" t="inlineStr">
        <is>
          <t>Stunden</t>
        </is>
      </c>
      <c r="D9" s="7" t="inlineStr">
        <is>
          <t>Standard: 40</t>
        </is>
      </c>
    </row>
    <row r="10">
      <c r="A10" s="7" t="inlineStr">
        <is>
          <t>Arbeitswochen pro Jahr</t>
        </is>
      </c>
      <c r="B10" s="8" t="n">
        <v>48</v>
      </c>
      <c r="C10" s="7" t="inlineStr">
        <is>
          <t>Wochen</t>
        </is>
      </c>
      <c r="D10" s="7" t="inlineStr">
        <is>
          <t>Abzgl. Urlaub/Feiertage</t>
        </is>
      </c>
    </row>
    <row r="12">
      <c r="A12" s="3" t="inlineStr">
        <is>
          <t>LIZENZKOSTEN</t>
        </is>
      </c>
      <c r="B12" s="4" t="n"/>
      <c r="C12" s="4" t="n"/>
      <c r="D12" s="4" t="n"/>
      <c r="E12" s="5" t="n"/>
    </row>
    <row r="13">
      <c r="A13" s="6" t="inlineStr">
        <is>
          <t>Parameter</t>
        </is>
      </c>
      <c r="B13" s="6" t="inlineStr">
        <is>
          <t>Wert</t>
        </is>
      </c>
      <c r="C13" s="6" t="inlineStr">
        <is>
          <t>Einheit</t>
        </is>
      </c>
      <c r="D13" s="6" t="inlineStr">
        <is>
          <t>Hinweis</t>
        </is>
      </c>
      <c r="E13" s="6" t="inlineStr"/>
    </row>
    <row r="14">
      <c r="A14" s="7" t="inlineStr">
        <is>
          <t>Copilot Lizenzkosten pro Monat</t>
        </is>
      </c>
      <c r="B14" s="8" t="n">
        <v>30</v>
      </c>
      <c r="C14" s="7" t="inlineStr">
        <is>
          <t>€/Nutzer</t>
        </is>
      </c>
      <c r="D14" s="7" t="inlineStr">
        <is>
          <t>M365 Copilot: €30</t>
        </is>
      </c>
    </row>
    <row r="15">
      <c r="A15" s="7" t="inlineStr">
        <is>
          <t>IT-Setup (einmalig)</t>
        </is>
      </c>
      <c r="B15" s="8" t="n">
        <v>25000</v>
      </c>
      <c r="C15" s="7" t="inlineStr">
        <is>
          <t>€</t>
        </is>
      </c>
      <c r="D15" s="7" t="inlineStr">
        <is>
          <t>Integration, Rollout</t>
        </is>
      </c>
    </row>
    <row r="16">
      <c r="A16" s="7" t="inlineStr">
        <is>
          <t>Change Management (einmalig)</t>
        </is>
      </c>
      <c r="B16" s="8" t="n">
        <v>15000</v>
      </c>
      <c r="C16" s="7" t="inlineStr">
        <is>
          <t>€</t>
        </is>
      </c>
      <c r="D16" s="7" t="inlineStr">
        <is>
          <t>Kommunikation, Support</t>
        </is>
      </c>
    </row>
    <row r="18">
      <c r="A18" s="3" t="inlineStr">
        <is>
          <t>TRAINING &amp; ENABLEMENT</t>
        </is>
      </c>
      <c r="B18" s="4" t="n"/>
      <c r="C18" s="4" t="n"/>
      <c r="D18" s="4" t="n"/>
      <c r="E18" s="5" t="n"/>
    </row>
    <row r="19">
      <c r="A19" s="6" t="inlineStr">
        <is>
          <t>Parameter</t>
        </is>
      </c>
      <c r="B19" s="6" t="inlineStr">
        <is>
          <t>Wert</t>
        </is>
      </c>
      <c r="C19" s="6" t="inlineStr">
        <is>
          <t>Einheit</t>
        </is>
      </c>
      <c r="D19" s="6" t="inlineStr">
        <is>
          <t>Hinweis</t>
        </is>
      </c>
      <c r="E19" s="6" t="inlineStr"/>
    </row>
    <row r="20">
      <c r="A20" s="7" t="inlineStr">
        <is>
          <t>Training-Budget pro Mitarbeiter</t>
        </is>
      </c>
      <c r="B20" s="8" t="n">
        <v>800</v>
      </c>
      <c r="C20" s="7" t="inlineStr">
        <is>
          <t>€/Mitarbeiter</t>
        </is>
      </c>
      <c r="D20" s="7" t="inlineStr">
        <is>
          <t>Empfohlen: €500-1.500</t>
        </is>
      </c>
    </row>
    <row r="21">
      <c r="A21" s="9" t="inlineStr">
        <is>
          <t>→ Erwartete Adoption-Rate</t>
        </is>
      </c>
      <c r="B21" s="10">
        <f>MIN(0.9,MAX(0.05, 0.05 + 0.85 * (1 - EXP(-B20/600))))</f>
        <v/>
      </c>
      <c r="C21" s="7" t="inlineStr">
        <is>
          <t>%</t>
        </is>
      </c>
      <c r="D21" s="7" t="inlineStr">
        <is>
          <t>Berechnet aus Training-Budget</t>
        </is>
      </c>
    </row>
    <row r="23">
      <c r="A23" s="11" t="inlineStr">
        <is>
          <t>Hinweis zur Adoption-Rate:</t>
        </is>
      </c>
    </row>
    <row r="24">
      <c r="A24" s="12" t="inlineStr">
        <is>
          <t>Die Adoption-Rate zeigt, wie viele Mitarbeiter Copilot regelmäßig nutzen.</t>
        </is>
      </c>
    </row>
    <row r="25">
      <c r="A25" s="12" t="inlineStr">
        <is>
          <t>Ohne gezieltes Training liegt diese erfahrungsgemäß bei nur 5-15%.</t>
        </is>
      </c>
    </row>
    <row r="26">
      <c r="A26" s="12" t="inlineStr">
        <is>
          <t>Mit professionellem Training (€800-1.500/MA) erreichen Sie 60-85% Adoption.</t>
        </is>
      </c>
    </row>
    <row r="28">
      <c r="A28" s="3" t="inlineStr">
        <is>
          <t>PRODUKTIVITÄTSANNAHMEN</t>
        </is>
      </c>
      <c r="B28" s="4" t="n"/>
      <c r="C28" s="4" t="n"/>
      <c r="D28" s="4" t="n"/>
      <c r="E28" s="5" t="n"/>
    </row>
    <row r="29">
      <c r="A29" s="6" t="inlineStr">
        <is>
          <t>Parameter</t>
        </is>
      </c>
      <c r="B29" s="6" t="inlineStr">
        <is>
          <t>Wert</t>
        </is>
      </c>
      <c r="C29" s="6" t="inlineStr">
        <is>
          <t>Einheit</t>
        </is>
      </c>
      <c r="D29" s="6" t="inlineStr">
        <is>
          <t>Hinweis</t>
        </is>
      </c>
      <c r="E29" s="6" t="inlineStr"/>
    </row>
    <row r="30">
      <c r="A30" s="7" t="inlineStr">
        <is>
          <t>Zeitersparnis pro aktivem Nutzer</t>
        </is>
      </c>
      <c r="B30" s="13" t="n">
        <v>0.25</v>
      </c>
      <c r="C30" s="7" t="inlineStr">
        <is>
          <t>% der Arbeitszeit</t>
        </is>
      </c>
      <c r="D30" s="7" t="inlineStr">
        <is>
          <t>Studien zeigen: 20-30%</t>
        </is>
      </c>
    </row>
    <row r="31">
      <c r="A31" s="7" t="inlineStr">
        <is>
          <t>Lernkurve (Monate bis Vollnutzung)</t>
        </is>
      </c>
      <c r="B31" s="8" t="n">
        <v>3</v>
      </c>
      <c r="C31" s="7" t="inlineStr">
        <is>
          <t>Monate</t>
        </is>
      </c>
      <c r="D31" s="7" t="inlineStr">
        <is>
          <t>Mit Training: 2-3, ohne: 6-12</t>
        </is>
      </c>
    </row>
    <row r="34">
      <c r="A34" s="14" t="inlineStr">
        <is>
          <t>© copilotenschule.de - ROI-Rechner für Microsoft Copilot</t>
        </is>
      </c>
    </row>
  </sheetData>
  <mergeCells count="5">
    <mergeCell ref="A12:E12"/>
    <mergeCell ref="A28:E28"/>
    <mergeCell ref="A1:E1"/>
    <mergeCell ref="A5:E5"/>
    <mergeCell ref="A18:E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18" customWidth="1" min="3" max="3"/>
    <col width="20" customWidth="1" min="4" max="4"/>
  </cols>
  <sheetData>
    <row r="1">
      <c r="A1" s="15" t="inlineStr">
        <is>
          <t>KOSTENKALKULATION</t>
        </is>
      </c>
    </row>
    <row r="3">
      <c r="A3" s="6" t="inlineStr">
        <is>
          <t>Kostenart</t>
        </is>
      </c>
      <c r="B3" s="6" t="inlineStr">
        <is>
          <t>Berechnung</t>
        </is>
      </c>
      <c r="C3" s="6" t="inlineStr">
        <is>
          <t>Jahr 1 (€)</t>
        </is>
      </c>
      <c r="D3" s="6" t="inlineStr">
        <is>
          <t>Jahre 2-5 (€/Jahr)</t>
        </is>
      </c>
      <c r="E3" s="6" t="inlineStr"/>
    </row>
    <row r="4">
      <c r="A4" s="7" t="inlineStr">
        <is>
          <t>Lizenzen (12 Monate)</t>
        </is>
      </c>
      <c r="B4" s="7">
        <f>CONCATENATE('1. Eingaben'!B7," × €",'1. Eingaben'!B14," × 12")</f>
        <v/>
      </c>
      <c r="C4" s="16">
        <f>'1. Eingaben'!B7*'1. Eingaben'!B14*12</f>
        <v/>
      </c>
      <c r="D4" s="16">
        <f>'1. Eingaben'!B7*'1. Eingaben'!B14*12</f>
        <v/>
      </c>
    </row>
    <row r="5">
      <c r="A5" s="7" t="inlineStr">
        <is>
          <t>Training &amp; Schulung</t>
        </is>
      </c>
      <c r="B5" s="7">
        <f>CONCATENATE('1. Eingaben'!B7," × €",'1. Eingaben'!B20)</f>
        <v/>
      </c>
      <c r="C5" s="16">
        <f>'1. Eingaben'!B7*'1. Eingaben'!B20</f>
        <v/>
      </c>
      <c r="D5" s="16" t="n">
        <v>0</v>
      </c>
    </row>
    <row r="6">
      <c r="A6" s="7" t="inlineStr">
        <is>
          <t>IT-Setup &amp; Integration</t>
        </is>
      </c>
      <c r="B6" s="7" t="inlineStr">
        <is>
          <t>Einmalig</t>
        </is>
      </c>
      <c r="C6" s="16">
        <f>'1. Eingaben'!B15</f>
        <v/>
      </c>
      <c r="D6" s="16" t="n">
        <v>0</v>
      </c>
    </row>
    <row r="7">
      <c r="A7" s="7" t="inlineStr">
        <is>
          <t>Change Management</t>
        </is>
      </c>
      <c r="B7" s="7" t="inlineStr">
        <is>
          <t>Einmalig</t>
        </is>
      </c>
      <c r="C7" s="16">
        <f>'1. Eingaben'!B16</f>
        <v/>
      </c>
      <c r="D7" s="16" t="n">
        <v>0</v>
      </c>
    </row>
    <row r="9">
      <c r="A9" s="17" t="inlineStr">
        <is>
          <t>TOTAL KOSTEN</t>
        </is>
      </c>
      <c r="B9" s="17" t="n"/>
      <c r="C9" s="18">
        <f>SUM(C4:C7)</f>
        <v/>
      </c>
      <c r="D9" s="18">
        <f>SUM(D4:D7)</f>
        <v/>
      </c>
    </row>
    <row r="11">
      <c r="A11" s="7" t="inlineStr">
        <is>
          <t>Anteil Training an Gesamtkosten Jahr 1</t>
        </is>
      </c>
      <c r="C11" s="10">
        <f>C5/C9</f>
        <v/>
      </c>
    </row>
    <row r="14">
      <c r="A14" s="14" t="inlineStr">
        <is>
          <t>© copilotenschule.de - ROI-Rechner für Microsoft Copilot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8" customWidth="1" min="3" max="3"/>
    <col width="18" customWidth="1" min="4" max="4"/>
  </cols>
  <sheetData>
    <row r="1">
      <c r="A1" s="15" t="inlineStr">
        <is>
          <t>NUTZENBERECHNUNG</t>
        </is>
      </c>
    </row>
    <row r="3">
      <c r="A3" s="3" t="inlineStr">
        <is>
          <t>BERECHNUNGSGRUNDLAGEN</t>
        </is>
      </c>
      <c r="B3" s="4" t="n"/>
      <c r="C3" s="4" t="n"/>
      <c r="D3" s="5" t="n"/>
    </row>
    <row r="5">
      <c r="A5" s="7" t="inlineStr">
        <is>
          <t>Arbeitszeit pro Nutzer/Jahr (Stunden)</t>
        </is>
      </c>
      <c r="B5" s="19">
        <f>'1. Eingaben'!B9*'1. Eingaben'!B10</f>
        <v/>
      </c>
    </row>
    <row r="6">
      <c r="A6" s="7" t="inlineStr">
        <is>
          <t>Gesamtarbeitszeit alle Nutzer (Stunden)</t>
        </is>
      </c>
      <c r="B6" s="19">
        <f>B5*'1. Eingaben'!B7</f>
        <v/>
      </c>
    </row>
    <row r="7">
      <c r="A7" s="7" t="inlineStr">
        <is>
          <t>Stundensatz</t>
        </is>
      </c>
      <c r="B7" s="20">
        <f>'1. Eingaben'!B8</f>
        <v/>
      </c>
    </row>
    <row r="8">
      <c r="A8" s="7" t="inlineStr">
        <is>
          <t>Adoption-Rate (aus Training)</t>
        </is>
      </c>
      <c r="B8" s="10">
        <f>'1. Eingaben'!B21</f>
        <v/>
      </c>
    </row>
    <row r="9">
      <c r="A9" s="7" t="inlineStr">
        <is>
          <t>Zeitersparnis pro aktivem Nutzer</t>
        </is>
      </c>
      <c r="B9" s="10">
        <f>'1. Eingaben'!B30</f>
        <v/>
      </c>
    </row>
    <row r="11">
      <c r="A11" s="3" t="inlineStr">
        <is>
          <t>EFFEKTIVER NUTZEN</t>
        </is>
      </c>
      <c r="B11" s="4" t="n"/>
      <c r="C11" s="4" t="n"/>
      <c r="D11" s="5" t="n"/>
    </row>
    <row r="13">
      <c r="A13" s="7" t="inlineStr">
        <is>
          <t>Aktive Nutzer (Adoption × Gesamtnutzer)</t>
        </is>
      </c>
      <c r="B13" s="21">
        <f>'1. Eingaben'!B7*B8</f>
        <v/>
      </c>
    </row>
    <row r="14">
      <c r="A14" s="7" t="inlineStr">
        <is>
          <t>Eingesparte Stunden/Jahr</t>
        </is>
      </c>
      <c r="B14" s="21">
        <f>B13*B5*B9</f>
        <v/>
      </c>
    </row>
    <row r="16">
      <c r="A16" s="17" t="inlineStr">
        <is>
          <t>JÄHRLICHER NUTZEN (€)</t>
        </is>
      </c>
      <c r="B16" s="18">
        <f>B14*B7</f>
        <v/>
      </c>
    </row>
    <row r="19">
      <c r="A19" s="3" t="inlineStr">
        <is>
          <t>EINFLUSS DER ADOPTION-RATE</t>
        </is>
      </c>
      <c r="B19" s="4" t="n"/>
      <c r="C19" s="4" t="n"/>
      <c r="D19" s="5" t="n"/>
    </row>
    <row r="20">
      <c r="A20" s="6" t="inlineStr">
        <is>
          <t>Training-Budget</t>
        </is>
      </c>
      <c r="B20" s="6" t="inlineStr">
        <is>
          <t>Adoption</t>
        </is>
      </c>
      <c r="C20" s="6" t="inlineStr">
        <is>
          <t>Jährlicher Nutzen</t>
        </is>
      </c>
      <c r="D20" s="6" t="inlineStr">
        <is>
          <t>Delta zu aktuell</t>
        </is>
      </c>
    </row>
    <row r="21">
      <c r="A21" s="7" t="inlineStr">
        <is>
          <t>Kein Training (€0)</t>
        </is>
      </c>
      <c r="B21" s="22">
        <f>MIN(0.9,MAX(0.05, 0.05 + 0.85 * (1 - EXP(-0/600))))</f>
        <v/>
      </c>
      <c r="C21" s="16">
        <f>B21*'1. Eingaben'!B7*'3. Nutzen'!B5*'1. Eingaben'!B30*'1. Eingaben'!B8</f>
        <v/>
      </c>
      <c r="D21" s="23">
        <f>C21-$B$16</f>
        <v/>
      </c>
    </row>
    <row r="22">
      <c r="A22" s="7" t="inlineStr">
        <is>
          <t>Basis (€300)</t>
        </is>
      </c>
      <c r="B22" s="22">
        <f>MIN(0.9,MAX(0.05, 0.05 + 0.85 * (1 - EXP(-300/600))))</f>
        <v/>
      </c>
      <c r="C22" s="16">
        <f>B22*'1. Eingaben'!B7*'3. Nutzen'!B5*'1. Eingaben'!B30*'1. Eingaben'!B8</f>
        <v/>
      </c>
      <c r="D22" s="23">
        <f>C22-$B$16</f>
        <v/>
      </c>
    </row>
    <row r="23">
      <c r="A23" s="7" t="inlineStr">
        <is>
          <t>Standard (€800)</t>
        </is>
      </c>
      <c r="B23" s="22">
        <f>MIN(0.9,MAX(0.05, 0.05 + 0.85 * (1 - EXP(-800/600))))</f>
        <v/>
      </c>
      <c r="C23" s="16">
        <f>B23*'1. Eingaben'!B7*'3. Nutzen'!B5*'1. Eingaben'!B30*'1. Eingaben'!B8</f>
        <v/>
      </c>
      <c r="D23" s="23">
        <f>C23-$B$16</f>
        <v/>
      </c>
    </row>
    <row r="24">
      <c r="A24" s="7" t="inlineStr">
        <is>
          <t>Professional (€1.500)</t>
        </is>
      </c>
      <c r="B24" s="22">
        <f>MIN(0.9,MAX(0.05, 0.05 + 0.85 * (1 - EXP(-1500/600))))</f>
        <v/>
      </c>
      <c r="C24" s="16">
        <f>B24*'1. Eingaben'!B7*'3. Nutzen'!B5*'1. Eingaben'!B30*'1. Eingaben'!B8</f>
        <v/>
      </c>
      <c r="D24" s="23">
        <f>C24-$B$16</f>
        <v/>
      </c>
    </row>
    <row r="25">
      <c r="A25" s="7" t="inlineStr">
        <is>
          <t>Premium (€2.500)</t>
        </is>
      </c>
      <c r="B25" s="22">
        <f>MIN(0.9,MAX(0.05, 0.05 + 0.85 * (1 - EXP(-2500/600))))</f>
        <v/>
      </c>
      <c r="C25" s="16">
        <f>B25*'1. Eingaben'!B7*'3. Nutzen'!B5*'1. Eingaben'!B30*'1. Eingaben'!B8</f>
        <v/>
      </c>
      <c r="D25" s="23">
        <f>C25-$B$16</f>
        <v/>
      </c>
    </row>
    <row r="27">
      <c r="A27" s="17" t="inlineStr">
        <is>
          <t>→ Ihre aktuelle Auswahl</t>
        </is>
      </c>
      <c r="B27" s="24">
        <f>'1. Eingaben'!B21</f>
        <v/>
      </c>
      <c r="C27" s="18">
        <f>B16</f>
        <v/>
      </c>
    </row>
    <row r="30">
      <c r="A30" s="14" t="inlineStr">
        <is>
          <t>© copilotenschule.de - ROI-Rechner für Microsoft Copilot</t>
        </is>
      </c>
    </row>
  </sheetData>
  <mergeCells count="4">
    <mergeCell ref="A1:D1"/>
    <mergeCell ref="A3:D3"/>
    <mergeCell ref="A19:D19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8" customWidth="1" min="4" max="4"/>
    <col width="20" customWidth="1" min="5" max="5"/>
    <col width="14" customWidth="1" min="6" max="6"/>
    <col width="14" customWidth="1" min="7" max="7"/>
  </cols>
  <sheetData>
    <row r="1">
      <c r="A1" s="15" t="inlineStr">
        <is>
          <t>ROI-DASHBOARD</t>
        </is>
      </c>
    </row>
    <row r="3">
      <c r="A3" s="3" t="inlineStr">
        <is>
          <t>SCHLÜSSELKENNZAHLEN</t>
        </is>
      </c>
      <c r="B3" s="4" t="n"/>
      <c r="C3" s="4" t="n"/>
      <c r="D3" s="5" t="n"/>
    </row>
    <row r="5">
      <c r="A5" s="7" t="inlineStr">
        <is>
          <t>Investition Jahr 1</t>
        </is>
      </c>
      <c r="B5" s="18">
        <f>'2. Kosten'!C9</f>
        <v/>
      </c>
    </row>
    <row r="6">
      <c r="A6" s="7" t="inlineStr">
        <is>
          <t>Jährlicher Nutzen</t>
        </is>
      </c>
      <c r="B6" s="18">
        <f>'3. Nutzen'!B16</f>
        <v/>
      </c>
    </row>
    <row r="7">
      <c r="A7" s="7" t="inlineStr">
        <is>
          <t>Netto-Nutzen Jahr 1</t>
        </is>
      </c>
      <c r="B7" s="18">
        <f>'3. Nutzen'!B16-'2. Kosten'!C9</f>
        <v/>
      </c>
    </row>
    <row r="8">
      <c r="A8" s="7" t="inlineStr">
        <is>
          <t>ROI Jahr 1</t>
        </is>
      </c>
      <c r="B8" s="24">
        <f>('3. Nutzen'!B16-'2. Kosten'!C9)/'2. Kosten'!C9</f>
        <v/>
      </c>
    </row>
    <row r="9">
      <c r="A9" s="7" t="inlineStr">
        <is>
          <t>Break-even (Monate)</t>
        </is>
      </c>
      <c r="B9" s="25">
        <f>'2. Kosten'!C9/('3. Nutzen'!B16/12)</f>
        <v/>
      </c>
    </row>
    <row r="10">
      <c r="A10" s="7" t="inlineStr">
        <is>
          <t>Adoption-Rate</t>
        </is>
      </c>
      <c r="B10" s="24">
        <f>'1. Eingaben'!B21</f>
        <v/>
      </c>
    </row>
    <row r="13">
      <c r="A13" s="3" t="inlineStr">
        <is>
          <t>5-JAHRES-PROGNOSE</t>
        </is>
      </c>
      <c r="B13" s="4" t="n"/>
      <c r="C13" s="4" t="n"/>
      <c r="D13" s="4" t="n"/>
      <c r="E13" s="4" t="n"/>
      <c r="F13" s="4" t="n"/>
      <c r="G13" s="5" t="n"/>
    </row>
    <row r="14">
      <c r="A14" s="6" t="inlineStr"/>
      <c r="B14" s="6" t="inlineStr">
        <is>
          <t>Jahr 1</t>
        </is>
      </c>
      <c r="C14" s="6" t="inlineStr">
        <is>
          <t>Jahr 2</t>
        </is>
      </c>
      <c r="D14" s="6" t="inlineStr">
        <is>
          <t>Jahr 3</t>
        </is>
      </c>
      <c r="E14" s="6" t="inlineStr">
        <is>
          <t>Jahr 4</t>
        </is>
      </c>
      <c r="F14" s="6" t="inlineStr">
        <is>
          <t>Jahr 5</t>
        </is>
      </c>
      <c r="G14" s="6" t="inlineStr">
        <is>
          <t>TOTAL</t>
        </is>
      </c>
    </row>
    <row r="15">
      <c r="A15" s="7" t="inlineStr">
        <is>
          <t>Kosten</t>
        </is>
      </c>
      <c r="B15" s="16">
        <f>'2. Kosten'!C9</f>
        <v/>
      </c>
      <c r="C15" s="16">
        <f>'2. Kosten'!D9</f>
        <v/>
      </c>
      <c r="D15" s="16">
        <f>'2. Kosten'!D9</f>
        <v/>
      </c>
      <c r="E15" s="16">
        <f>'2. Kosten'!D9</f>
        <v/>
      </c>
      <c r="F15" s="16">
        <f>'2. Kosten'!D9</f>
        <v/>
      </c>
      <c r="G15" s="16">
        <f>SUM(B15:F15)</f>
        <v/>
      </c>
    </row>
    <row r="16">
      <c r="A16" s="7" t="inlineStr">
        <is>
          <t>Nutzen</t>
        </is>
      </c>
      <c r="B16" s="16">
        <f>'3. Nutzen'!B16</f>
        <v/>
      </c>
      <c r="C16" s="16">
        <f>'3. Nutzen'!B16</f>
        <v/>
      </c>
      <c r="D16" s="16">
        <f>'3. Nutzen'!B16</f>
        <v/>
      </c>
      <c r="E16" s="16">
        <f>'3. Nutzen'!B16</f>
        <v/>
      </c>
      <c r="F16" s="16">
        <f>'3. Nutzen'!B16</f>
        <v/>
      </c>
      <c r="G16" s="16">
        <f>SUM(B16:F16)</f>
        <v/>
      </c>
    </row>
    <row r="17">
      <c r="A17" s="7" t="inlineStr">
        <is>
          <t>Netto-Nutzen</t>
        </is>
      </c>
      <c r="B17" s="16">
        <f>B16-B15</f>
        <v/>
      </c>
      <c r="C17" s="16">
        <f>C16-C15</f>
        <v/>
      </c>
      <c r="D17" s="16">
        <f>D16-D15</f>
        <v/>
      </c>
      <c r="E17" s="16">
        <f>E16-E15</f>
        <v/>
      </c>
      <c r="F17" s="16">
        <f>F16-F15</f>
        <v/>
      </c>
      <c r="G17" s="16">
        <f>SUM(B17:F17)</f>
        <v/>
      </c>
    </row>
    <row r="18">
      <c r="A18" s="26" t="inlineStr">
        <is>
          <t>Kumuliert</t>
        </is>
      </c>
      <c r="B18" s="27">
        <f>B17</f>
        <v/>
      </c>
      <c r="C18" s="27">
        <f>B18+C17</f>
        <v/>
      </c>
      <c r="D18" s="27">
        <f>C18+D17</f>
        <v/>
      </c>
      <c r="E18" s="27">
        <f>D18+E17</f>
        <v/>
      </c>
      <c r="F18" s="27">
        <f>E18+F17</f>
        <v/>
      </c>
      <c r="G18" s="27">
        <f>F18</f>
        <v/>
      </c>
    </row>
    <row r="21">
      <c r="A21" s="3" t="inlineStr">
        <is>
          <t>EINFLUSS DES TRAININGS AUF DEN ROI</t>
        </is>
      </c>
      <c r="B21" s="4" t="n"/>
      <c r="C21" s="4" t="n"/>
      <c r="D21" s="4" t="n"/>
      <c r="E21" s="4" t="n"/>
      <c r="F21" s="5" t="n"/>
    </row>
    <row r="23">
      <c r="A23" s="7" t="inlineStr">
        <is>
          <t>Ihr Training-Budget:</t>
        </is>
      </c>
      <c r="B23" s="18">
        <f>'1. Eingaben'!B20</f>
        <v/>
      </c>
      <c r="C23" s="7" t="inlineStr">
        <is>
          <t>pro Mitarbeiter</t>
        </is>
      </c>
    </row>
    <row r="24">
      <c r="A24" s="7" t="inlineStr">
        <is>
          <t>Resultierende Adoption:</t>
        </is>
      </c>
      <c r="B24" s="24">
        <f>'1. Eingaben'!B21</f>
        <v/>
      </c>
    </row>
    <row r="26">
      <c r="A26" s="7" t="inlineStr">
        <is>
          <t>Ohne Training (€0):</t>
        </is>
      </c>
      <c r="B26" s="22">
        <f>MIN(0.9,MAX(0.05, 0.05 + 0.85 * (1 - EXP(-0/600))))</f>
        <v/>
      </c>
      <c r="C26" s="7" t="inlineStr">
        <is>
          <t>Adoption</t>
        </is>
      </c>
      <c r="D26" s="16">
        <f>B26*'1. Eingaben'!B7*'3. Nutzen'!B5*'1. Eingaben'!B30*'1. Eingaben'!B8-'2. Kosten'!C9+'1. Eingaben'!B7*'1. Eingaben'!B20</f>
        <v/>
      </c>
      <c r="E26" s="7" t="inlineStr">
        <is>
          <t>Netto-Nutzen Jahr 1</t>
        </is>
      </c>
    </row>
    <row r="27">
      <c r="A27" s="7" t="inlineStr">
        <is>
          <t>Mit Ihrem Budget:</t>
        </is>
      </c>
      <c r="B27" s="24">
        <f>'1. Eingaben'!B21</f>
        <v/>
      </c>
      <c r="C27" s="7" t="inlineStr">
        <is>
          <t>Adoption</t>
        </is>
      </c>
      <c r="D27" s="18">
        <f>'3. Nutzen'!B16-'2. Kosten'!C9</f>
        <v/>
      </c>
      <c r="E27" s="7" t="inlineStr">
        <is>
          <t>Netto-Nutzen Jahr 1</t>
        </is>
      </c>
    </row>
    <row r="29">
      <c r="A29" s="28" t="inlineStr">
        <is>
          <t>Mehrwert durch Training:</t>
        </is>
      </c>
      <c r="D29" s="29">
        <f>D27-D26</f>
        <v/>
      </c>
      <c r="E29" s="7" t="inlineStr">
        <is>
          <t>zusätzlicher Nutzen</t>
        </is>
      </c>
    </row>
    <row r="32">
      <c r="A32" s="14" t="inlineStr">
        <is>
          <t>© copilotenschule.de - ROI-Rechner für Microsoft Copilot</t>
        </is>
      </c>
    </row>
  </sheetData>
  <mergeCells count="4">
    <mergeCell ref="A13:G13"/>
    <mergeCell ref="A21:F21"/>
    <mergeCell ref="A1:F1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</cols>
  <sheetData>
    <row r="1">
      <c r="A1" s="30" t="inlineStr">
        <is>
          <t>EXECUTIVE SUMMARY</t>
        </is>
      </c>
    </row>
    <row r="3">
      <c r="A3" s="3" t="inlineStr">
        <is>
          <t>INVESTITIONSÜBERSICHT</t>
        </is>
      </c>
      <c r="B3" s="4" t="n"/>
      <c r="C3" s="5" t="n"/>
    </row>
    <row r="5">
      <c r="A5" s="7" t="inlineStr">
        <is>
          <t>Anzahl Copilot-Nutzer</t>
        </is>
      </c>
      <c r="B5" s="31">
        <f>'1. Eingaben'!B7</f>
        <v/>
      </c>
    </row>
    <row r="6">
      <c r="A6" s="7" t="inlineStr">
        <is>
          <t>Training-Budget pro MA</t>
        </is>
      </c>
      <c r="B6" s="18">
        <f>'1. Eingaben'!B20</f>
        <v/>
      </c>
    </row>
    <row r="7">
      <c r="A7" s="7" t="inlineStr">
        <is>
          <t>Erwartete Adoption-Rate</t>
        </is>
      </c>
      <c r="B7" s="24">
        <f>'1. Eingaben'!B21</f>
        <v/>
      </c>
    </row>
    <row r="8">
      <c r="A8" s="7" t="inlineStr">
        <is>
          <t>Investition Jahr 1</t>
        </is>
      </c>
      <c r="B8" s="18">
        <f>'2. Kosten'!C9</f>
        <v/>
      </c>
    </row>
    <row r="9">
      <c r="A9" s="7" t="inlineStr">
        <is>
          <t>Jährliche Folgekosten</t>
        </is>
      </c>
      <c r="B9" s="18">
        <f>'2. Kosten'!D9</f>
        <v/>
      </c>
    </row>
    <row r="12">
      <c r="A12" s="3" t="inlineStr">
        <is>
          <t>ERGEBNIS</t>
        </is>
      </c>
      <c r="B12" s="4" t="n"/>
      <c r="C12" s="5" t="n"/>
    </row>
    <row r="14">
      <c r="A14" s="7" t="inlineStr">
        <is>
          <t>Erwarteter Nutzen (Jahr 1)</t>
        </is>
      </c>
      <c r="B14" s="18">
        <f>'3. Nutzen'!B16</f>
        <v/>
      </c>
    </row>
    <row r="15">
      <c r="A15" s="7" t="inlineStr">
        <is>
          <t>ROI Jahr 1</t>
        </is>
      </c>
      <c r="B15" s="24">
        <f>'4. ROI-Dashboard'!B8</f>
        <v/>
      </c>
    </row>
    <row r="16">
      <c r="A16" s="7" t="inlineStr">
        <is>
          <t>Break-even</t>
        </is>
      </c>
      <c r="B16" s="25">
        <f>'4. ROI-Dashboard'!B9</f>
        <v/>
      </c>
    </row>
    <row r="17">
      <c r="A17" s="7" t="inlineStr">
        <is>
          <t>5-Jahres Netto-Nutzen</t>
        </is>
      </c>
      <c r="B17" s="18">
        <f>'4. ROI-Dashboard'!G18</f>
        <v/>
      </c>
    </row>
    <row r="20">
      <c r="A20" s="3" t="inlineStr">
        <is>
          <t>WICHTIGER HINWEIS</t>
        </is>
      </c>
      <c r="B20" s="4" t="n"/>
      <c r="C20" s="5" t="n"/>
    </row>
    <row r="22">
      <c r="A22" s="32" t="inlineStr">
        <is>
          <t>Die Adoption-Rate ist der entscheidende Faktor für den ROI.</t>
        </is>
      </c>
    </row>
    <row r="23">
      <c r="A23" t="inlineStr">
        <is>
          <t>Ohne angemessenes Training nutzen erfahrungsgemäß nur 5-15%</t>
        </is>
      </c>
    </row>
    <row r="24">
      <c r="A24" t="inlineStr">
        <is>
          <t>der Mitarbeiter Copilot regelmäßig – die Investition verpufft.</t>
        </is>
      </c>
    </row>
    <row r="25">
      <c r="A25" t="inlineStr"/>
    </row>
    <row r="26">
      <c r="A26" t="inlineStr">
        <is>
          <t>Mit professionellem Training erreichen Sie 60-85% aktive Nutzung</t>
        </is>
      </c>
    </row>
    <row r="27">
      <c r="A27" t="inlineStr">
        <is>
          <t>und realisieren den vollen Produktivitätsgewinn.</t>
        </is>
      </c>
    </row>
    <row r="30">
      <c r="A30" s="14" t="inlineStr">
        <is>
          <t>© copilotenschule.de - ROI-Rechner für Microsoft Copilot</t>
        </is>
      </c>
    </row>
  </sheetData>
  <mergeCells count="4">
    <mergeCell ref="A1:C1"/>
    <mergeCell ref="A20:C20"/>
    <mergeCell ref="A3:C3"/>
    <mergeCell ref="A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2026-02-03T09:36:46Z</dcterms:created>
  <dcterms:modified xmlns:dcterms="http://purl.org/dc/terms/" xmlns:xsi="http://www.w3.org/2001/XMLSchema-instance" xsi:type="dcterms:W3CDTF">2026-02-03T09:36:46Z</dcterms:modified>
</cp:coreProperties>
</file>