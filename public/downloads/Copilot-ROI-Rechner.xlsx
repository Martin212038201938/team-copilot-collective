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56e11b279e4571" /></Relationships>
</file>

<file path=xl/workbook.xml><?xml version="1.0" encoding="utf-8"?>
<x:workbook xmlns:x="http://schemas.openxmlformats.org/spreadsheetml/2006/main">
  <x:sheets>
    <x:sheet xmlns:r="http://schemas.openxmlformats.org/officeDocument/2006/relationships" name="1. Eingaben" sheetId="1" r:id="Rd84be0bcc63241eb"/>
    <x:sheet xmlns:r="http://schemas.openxmlformats.org/officeDocument/2006/relationships" name="2. Executive Summary" sheetId="2" r:id="R4593543433cf4a45"/>
    <x:sheet xmlns:r="http://schemas.openxmlformats.org/officeDocument/2006/relationships" name="3. 3-Jahres-Verlauf" sheetId="3" r:id="Rd8c5b334acb944fc"/>
    <x:sheet xmlns:r="http://schemas.openxmlformats.org/officeDocument/2006/relationships" name="4. Szenarien" sheetId="4" r:id="R5f37cb86ab7046e2"/>
    <x:sheet xmlns:r="http://schemas.openxmlformats.org/officeDocument/2006/relationships" name="5. Berechnung" sheetId="5" r:id="Ra9b51621f0ed460b"/>
    <x:sheet xmlns:r="http://schemas.openxmlformats.org/officeDocument/2006/relationships" name="6. Quellen &amp; Methodik" sheetId="6" r:id="Ra6877d3fc6e04b9c"/>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Red](#,##0);-"/>
    <x:numFmt numFmtId="201" formatCode="#,##0&quot; €&quot;;[Red](#,##0&quot; €&quot;);-"/>
    <x:numFmt numFmtId="202" formatCode="0.0&quot; Std./Monat&quot;"/>
    <x:numFmt numFmtId="203" formatCode="0%;[Red](0%);-"/>
    <x:numFmt numFmtId="204" formatCode="0.0&quot; Monate&quot;"/>
    <x:numFmt numFmtId="205" formatCode="0.0&quot; Std.&quot;"/>
    <x:numFmt numFmtId="206" formatCode="0&quot; Monate&quot;"/>
    <x:numFmt numFmtId="207" formatCode=";;;"/>
  </x:numFmts>
  <x:fonts count="18">
    <x:font>
      <x:sz val="11"/>
      <x:name val="Carlito"/>
    </x:font>
    <x:font>
      <x:b/>
      <x:sz val="18"/>
      <x:color rgb="FFFFFFFF"/>
      <x:name val="Carlito"/>
    </x:font>
    <x:font>
      <x:b/>
      <x:sz val="11"/>
      <x:color rgb="FF1F4E79"/>
      <x:name val="Carlito"/>
    </x:font>
    <x:font>
      <x:b/>
      <x:sz val="11"/>
      <x:color rgb="FF000000"/>
      <x:name val="Carlito"/>
    </x:font>
    <x:font>
      <x:b/>
      <x:sz val="10"/>
      <x:color rgb="FFFFFFFF"/>
      <x:name val="Carlito"/>
    </x:font>
    <x:font>
      <x:b/>
      <x:sz val="11"/>
      <x:color rgb="FF0000FF"/>
      <x:name val="Carlito"/>
    </x:font>
    <x:font>
      <x:i/>
      <x:sz val="11"/>
      <x:color rgb="FF1F4E79"/>
      <x:name val="Carlito"/>
    </x:font>
    <x:font>
      <x:i/>
      <x:sz val="11"/>
      <x:color rgb="FF666666"/>
      <x:name val="Carlito"/>
    </x:font>
    <x:font>
      <x:b/>
      <x:sz val="11"/>
      <x:color rgb="FF375623"/>
      <x:name val="Carlito"/>
    </x:font>
    <x:font>
      <x:b/>
      <x:sz val="11"/>
      <x:color rgb="FFED7D31"/>
      <x:name val="Carlito"/>
    </x:font>
    <x:font>
      <x:b/>
      <x:sz val="11"/>
      <x:color rgb="FF666666"/>
      <x:name val="Carlito"/>
    </x:font>
    <x:font>
      <x:sz val="11"/>
      <x:color rgb="FFFFFFFF"/>
      <x:name val="Carlito"/>
    </x:font>
    <x:font>
      <x:i/>
      <x:sz val="11"/>
      <x:color rgb="FF375623"/>
      <x:name val="Carlito"/>
    </x:font>
    <x:font>
      <x:b/>
      <x:i/>
      <x:sz val="11"/>
      <x:color rgb="FF375623"/>
      <x:name val="Carlito"/>
    </x:font>
    <x:font>
      <x:i/>
      <x:sz val="11"/>
      <x:color rgb="FFED7D31"/>
      <x:name val="Carlito"/>
    </x:font>
    <x:font>
      <x:b/>
      <x:i/>
      <x:sz val="11"/>
      <x:color rgb="FFED7D31"/>
      <x:name val="Carlito"/>
    </x:font>
    <x:font>
      <x:sz val="1"/>
      <x:color rgb="FFFFFFFF"/>
      <x:name val="Carlito"/>
    </x:font>
    <x:font>
      <x:b/>
      <x:sz val="12"/>
      <x:color rgb="FF375623"/>
      <x:name val="Carlito"/>
    </x:font>
  </x:fonts>
  <x:fills count="9">
    <x:fill>
      <x:patternFill patternType="none"/>
    </x:fill>
    <x:fill>
      <x:patternFill patternType="gray125"/>
    </x:fill>
    <x:fill>
      <x:patternFill patternType="solid">
        <x:fgColor rgb="FF1F4E79"/>
      </x:patternFill>
    </x:fill>
    <x:fill>
      <x:patternFill patternType="solid">
        <x:fgColor rgb="FFEAF3F8"/>
      </x:patternFill>
    </x:fill>
    <x:fill>
      <x:patternFill patternType="solid">
        <x:fgColor rgb="FFE7E6E6"/>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FFFFF"/>
      </x:patternFill>
    </x:fill>
  </x:fills>
  <x:borders count="13">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s>
  <x:cellStyleXfs count="1">
    <x:xf numFmtId="0" fontId="0" fillId="0" borderId="0"/>
  </x:cellStyleXfs>
  <x:cellXfs count="1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0" fontId="0" fillId="0" borderId="4" xfId="0" applyNumberFormat="1" applyFont="1" applyFill="1" applyBorder="1"/>
    <x:xf numFmtId="0" fontId="0" fillId="0" borderId="4" xfId="0" applyNumberFormat="1" applyFont="1" applyFill="1" applyBorder="1" applyAlignment="1">
      <x:alignment vertical="center"/>
    </x:xf>
    <x:xf numFmtId="0" fontId="0" fillId="5" borderId="4" xfId="0" applyNumberFormat="1" applyFont="1" applyFill="1" applyBorder="1" applyAlignment="1">
      <x:alignment vertical="center"/>
    </x:xf>
    <x:xf numFmtId="0" fontId="5" fillId="5" borderId="4" xfId="0" applyNumberFormat="1" applyFont="1" applyFill="1" applyBorder="1" applyAlignment="1">
      <x:alignment vertical="center"/>
    </x:xf>
    <x:xf numFmtId="200" fontId="5" fillId="5" borderId="4" xfId="0" applyNumberFormat="1" applyFont="1" applyFill="1" applyBorder="1" applyAlignment="1">
      <x:alignment vertical="center"/>
    </x:xf>
    <x:xf numFmtId="201" fontId="5" fillId="5" borderId="4"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3" borderId="5" xfId="0" applyNumberFormat="1" applyFont="1" applyFill="1" applyBorder="1" applyAlignment="1">
      <x:alignment vertical="center" wrapText="1"/>
    </x:xf>
    <x:xf numFmtId="0" fontId="6" fillId="3" borderId="6" xfId="0" applyNumberFormat="1" applyFont="1" applyFill="1" applyBorder="1" applyAlignment="1">
      <x:alignment vertical="center" wrapText="1"/>
    </x:xf>
    <x:xf numFmtId="0" fontId="6" fillId="3" borderId="7" xfId="0" applyNumberFormat="1" applyFont="1" applyFill="1" applyBorder="1" applyAlignment="1">
      <x:alignment vertical="center" wrapText="1"/>
    </x:xf>
    <x:xf numFmtId="0" fontId="6" fillId="3" borderId="8" xfId="0" applyNumberFormat="1" applyFont="1" applyFill="1" applyBorder="1" applyAlignment="1">
      <x:alignment vertical="center" wrapText="1"/>
    </x:xf>
    <x:xf numFmtId="0" fontId="6" fillId="3" borderId="9" xfId="0" applyNumberFormat="1" applyFont="1" applyFill="1" applyBorder="1" applyAlignment="1">
      <x:alignment vertical="center" wrapText="1"/>
    </x:xf>
    <x:xf numFmtId="0" fontId="6" fillId="3" borderId="10" xfId="0" applyNumberFormat="1" applyFont="1" applyFill="1" applyBorder="1" applyAlignment="1">
      <x:alignment vertical="center" wrapText="1"/>
    </x:xf>
    <x:xf numFmtId="0" fontId="6" fillId="3" borderId="11" xfId="0" applyNumberFormat="1" applyFont="1" applyFill="1" applyBorder="1" applyAlignment="1">
      <x:alignment vertical="center" wrapText="1"/>
    </x:xf>
    <x:xf numFmtId="0" fontId="6" fillId="3" borderId="12" xfId="0" applyNumberFormat="1" applyFont="1" applyFill="1" applyBorder="1" applyAlignment="1">
      <x:alignment vertical="center" wrapText="1"/>
    </x:xf>
    <x:xf numFmtId="0" fontId="7" fillId="0" borderId="0" xfId="0" applyNumberFormat="1" applyFont="1" applyFill="1" applyBorder="1"/>
    <x:xf numFmtId="0" fontId="0" fillId="3" borderId="4" xfId="0" applyNumberFormat="1" applyFont="1" applyFill="1" applyBorder="1" applyAlignment="1">
      <x:alignment vertical="center"/>
    </x:xf>
    <x:xf numFmtId="0" fontId="2" fillId="3" borderId="4" xfId="0" applyNumberFormat="1" applyFont="1" applyFill="1" applyBorder="1" applyAlignment="1">
      <x:alignment vertical="center"/>
    </x:xf>
    <x:xf numFmtId="202" fontId="2" fillId="3" borderId="4" xfId="0" applyNumberFormat="1" applyFont="1" applyFill="1" applyBorder="1" applyAlignment="1">
      <x:alignment vertical="center"/>
    </x:xf>
    <x:xf numFmtId="0" fontId="0" fillId="6" borderId="4" xfId="0" applyNumberFormat="1" applyFont="1" applyFill="1" applyBorder="1" applyAlignment="1">
      <x:alignment vertical="center"/>
    </x:xf>
    <x:xf numFmtId="0" fontId="8" fillId="6" borderId="4" xfId="0" applyNumberFormat="1" applyFont="1" applyFill="1" applyBorder="1" applyAlignment="1">
      <x:alignment vertical="center"/>
    </x:xf>
    <x:xf numFmtId="203" fontId="8" fillId="6" borderId="4" xfId="0" applyNumberFormat="1" applyFont="1" applyFill="1" applyBorder="1" applyAlignment="1">
      <x:alignment vertical="center"/>
    </x:xf>
    <x:xf numFmtId="203" fontId="2" fillId="3" borderId="4" xfId="0" applyNumberFormat="1" applyFont="1" applyFill="1" applyBorder="1" applyAlignment="1">
      <x:alignment vertical="center"/>
    </x:xf>
    <x:xf numFmtId="200" fontId="8" fillId="6" borderId="4" xfId="0" applyNumberFormat="1" applyFont="1" applyFill="1" applyBorder="1" applyAlignment="1">
      <x:alignment vertical="center"/>
    </x:xf>
    <x:xf numFmtId="203" fontId="8" fillId="3" borderId="4" xfId="0" applyNumberFormat="1" applyFont="1" applyFill="1" applyBorder="1" applyAlignment="1">
      <x:alignment vertical="center"/>
    </x:xf>
    <x:xf numFmtId="200" fontId="8" fillId="3" borderId="4" xfId="0" applyNumberFormat="1" applyFont="1" applyFill="1" applyBorder="1" applyAlignment="1">
      <x:alignment vertical="center"/>
    </x:xf>
    <x:xf numFmtId="204" fontId="2" fillId="3" borderId="4"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0" fillId="7" borderId="4" xfId="0" applyNumberFormat="1" applyFont="1" applyFill="1" applyBorder="1" applyAlignment="1">
      <x:alignment vertical="center"/>
    </x:xf>
    <x:xf numFmtId="0" fontId="0" fillId="7" borderId="4" xfId="0" applyNumberFormat="1" applyFont="1" applyFill="1" applyBorder="1" applyAlignment="1">
      <x:alignment vertical="center" wrapText="1"/>
    </x:xf>
    <x:xf numFmtId="0" fontId="9" fillId="7" borderId="4" xfId="0" applyNumberFormat="1" applyFont="1" applyFill="1" applyBorder="1" applyAlignment="1">
      <x:alignment vertical="center"/>
    </x:xf>
    <x:xf numFmtId="0" fontId="9" fillId="7" borderId="4" xfId="0" applyNumberFormat="1" applyFont="1" applyFill="1" applyBorder="1" applyAlignment="1">
      <x:alignment vertical="center" wrapText="1"/>
    </x:xf>
    <x:xf numFmtId="205" fontId="0" fillId="0" borderId="4" xfId="0" applyNumberFormat="1" applyFont="1" applyFill="1" applyBorder="1" applyAlignment="1">
      <x:alignment vertical="center"/>
    </x:xf>
    <x:xf numFmtId="201" fontId="0" fillId="0" borderId="4" xfId="0" applyNumberFormat="1" applyFont="1" applyFill="1" applyBorder="1" applyAlignment="1">
      <x:alignment vertical="center"/>
    </x:xf>
    <x:xf numFmtId="203" fontId="0" fillId="0" borderId="4" xfId="0" applyNumberFormat="1" applyFont="1" applyFill="1" applyBorder="1" applyAlignment="1">
      <x:alignment vertical="center"/>
    </x:xf>
    <x:xf numFmtId="203" fontId="10" fillId="0" borderId="4" xfId="0" applyNumberFormat="1" applyFont="1" applyFill="1" applyBorder="1" applyAlignment="1">
      <x:alignment vertical="center"/>
    </x:xf>
    <x:xf numFmtId="206" fontId="0" fillId="0" borderId="4" xfId="0" applyNumberFormat="1" applyFont="1" applyFill="1" applyBorder="1" applyAlignment="1">
      <x:alignment vertical="center"/>
    </x:xf>
    <x:xf numFmtId="205" fontId="0" fillId="3" borderId="4" xfId="0" applyNumberFormat="1" applyFont="1" applyFill="1" applyBorder="1" applyAlignment="1">
      <x:alignment vertical="center"/>
    </x:xf>
    <x:xf numFmtId="201" fontId="0" fillId="3" borderId="4" xfId="0" applyNumberFormat="1" applyFont="1" applyFill="1" applyBorder="1" applyAlignment="1">
      <x:alignment vertical="center"/>
    </x:xf>
    <x:xf numFmtId="203" fontId="10" fillId="3" borderId="4" xfId="0" applyNumberFormat="1" applyFont="1" applyFill="1" applyBorder="1" applyAlignment="1">
      <x:alignment vertical="center"/>
    </x:xf>
    <x:xf numFmtId="206" fontId="0" fillId="3" borderId="4" xfId="0" applyNumberFormat="1" applyFont="1" applyFill="1" applyBorder="1" applyAlignment="1">
      <x:alignment vertical="center"/>
    </x:xf>
    <x:xf numFmtId="205" fontId="2" fillId="3" borderId="4" xfId="0" applyNumberFormat="1" applyFont="1" applyFill="1" applyBorder="1" applyAlignment="1">
      <x:alignment vertical="center"/>
    </x:xf>
    <x:xf numFmtId="201" fontId="2" fillId="3" borderId="4" xfId="0" applyNumberFormat="1" applyFont="1" applyFill="1" applyBorder="1" applyAlignment="1">
      <x:alignment vertical="center"/>
    </x:xf>
    <x:xf numFmtId="206" fontId="2" fillId="3" borderId="4" xfId="0" applyNumberFormat="1" applyFont="1" applyFill="1" applyBorder="1" applyAlignment="1">
      <x:alignment vertical="center"/>
    </x:xf>
    <x:xf numFmtId="200" fontId="0" fillId="0" borderId="4" xfId="0" applyNumberFormat="1" applyFont="1" applyFill="1" applyBorder="1" applyAlignment="1">
      <x:alignment vertical="center"/>
    </x:xf>
    <x:xf numFmtId="0" fontId="11" fillId="0" borderId="0" xfId="0" applyNumberFormat="1" applyFont="1" applyFill="1" applyBorder="1"/>
    <x:xf numFmtId="0" fontId="11" fillId="8" borderId="0" xfId="0" applyNumberFormat="1" applyFont="1" applyFill="1" applyBorder="1"/>
    <x:xf numFmtId="201" fontId="8" fillId="6" borderId="4" xfId="0" applyNumberFormat="1" applyFont="1" applyFill="1" applyBorder="1" applyAlignment="1">
      <x:alignment vertical="center"/>
    </x:xf>
    <x:xf numFmtId="206" fontId="8" fillId="6" borderId="4" xfId="0" applyNumberFormat="1" applyFont="1" applyFill="1" applyBorder="1" applyAlignment="1">
      <x:alignment vertical="center"/>
    </x:xf>
    <x:xf numFmtId="202" fontId="8" fillId="6" borderId="4" xfId="0" applyNumberFormat="1" applyFont="1" applyFill="1" applyBorder="1" applyAlignment="1">
      <x:alignment vertical="center"/>
    </x:xf>
    <x:xf numFmtId="201" fontId="0" fillId="6" borderId="4" xfId="0" applyNumberFormat="1" applyFont="1" applyFill="1" applyBorder="1" applyAlignment="1">
      <x:alignment vertical="center"/>
    </x:xf>
    <x:xf numFmtId="203" fontId="0" fillId="6" borderId="4" xfId="0" applyNumberFormat="1" applyFont="1" applyFill="1" applyBorder="1" applyAlignment="1">
      <x:alignment vertical="center"/>
    </x:xf>
    <x:xf numFmtId="0" fontId="0" fillId="6" borderId="0" xfId="0" applyNumberFormat="1" applyFont="1" applyFill="1" applyBorder="1"/>
    <x:xf numFmtId="0" fontId="12" fillId="6" borderId="0" xfId="0" applyNumberFormat="1" applyFont="1" applyFill="1" applyBorder="1"/>
    <x:xf numFmtId="0" fontId="12" fillId="6" borderId="0" xfId="0" applyNumberFormat="1" applyFont="1" applyFill="1" applyBorder="1" applyAlignment="1">
      <x:alignment wrapText="1"/>
    </x:xf>
    <x:xf numFmtId="0" fontId="12" fillId="6" borderId="0" xfId="0" applyNumberFormat="1" applyFont="1" applyFill="1" applyBorder="1" applyAlignment="1">
      <x:alignment vertical="center" wrapText="1"/>
    </x:xf>
    <x:xf numFmtId="0" fontId="12" fillId="6" borderId="5" xfId="0" applyNumberFormat="1" applyFont="1" applyFill="1" applyBorder="1" applyAlignment="1">
      <x:alignment vertical="center" wrapText="1"/>
    </x:xf>
    <x:xf numFmtId="0" fontId="12" fillId="6" borderId="6" xfId="0" applyNumberFormat="1" applyFont="1" applyFill="1" applyBorder="1" applyAlignment="1">
      <x:alignment vertical="center" wrapText="1"/>
    </x:xf>
    <x:xf numFmtId="0" fontId="12" fillId="6" borderId="7" xfId="0" applyNumberFormat="1" applyFont="1" applyFill="1" applyBorder="1" applyAlignment="1">
      <x:alignment vertical="center" wrapText="1"/>
    </x:xf>
    <x:xf numFmtId="0" fontId="12" fillId="6" borderId="8" xfId="0" applyNumberFormat="1" applyFont="1" applyFill="1" applyBorder="1" applyAlignment="1">
      <x:alignment vertical="center" wrapText="1"/>
    </x:xf>
    <x:xf numFmtId="0" fontId="12" fillId="6" borderId="9" xfId="0" applyNumberFormat="1" applyFont="1" applyFill="1" applyBorder="1" applyAlignment="1">
      <x:alignment vertical="center" wrapText="1"/>
    </x:xf>
    <x:xf numFmtId="0" fontId="12" fillId="6" borderId="10" xfId="0" applyNumberFormat="1" applyFont="1" applyFill="1" applyBorder="1" applyAlignment="1">
      <x:alignment vertical="center" wrapText="1"/>
    </x:xf>
    <x:xf numFmtId="0" fontId="12" fillId="6" borderId="11" xfId="0" applyNumberFormat="1" applyFont="1" applyFill="1" applyBorder="1" applyAlignment="1">
      <x:alignment vertical="center" wrapText="1"/>
    </x:xf>
    <x:xf numFmtId="0" fontId="12" fillId="6" borderId="12" xfId="0" applyNumberFormat="1" applyFont="1" applyFill="1" applyBorder="1" applyAlignment="1">
      <x:alignment vertical="center" wrapText="1"/>
    </x:xf>
    <x:xf numFmtId="0" fontId="13" fillId="6" borderId="5" xfId="0" applyNumberFormat="1" applyFont="1" applyFill="1" applyBorder="1" applyAlignment="1">
      <x:alignment vertical="center" wrapText="1"/>
    </x:xf>
    <x:xf numFmtId="0" fontId="13" fillId="6" borderId="6" xfId="0" applyNumberFormat="1" applyFont="1" applyFill="1" applyBorder="1" applyAlignment="1">
      <x:alignment vertical="center" wrapText="1"/>
    </x:xf>
    <x:xf numFmtId="0" fontId="13" fillId="6" borderId="7" xfId="0" applyNumberFormat="1" applyFont="1" applyFill="1" applyBorder="1" applyAlignment="1">
      <x:alignment vertical="center" wrapText="1"/>
    </x:xf>
    <x:xf numFmtId="0" fontId="13" fillId="6" borderId="8"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3" fillId="6" borderId="9" xfId="0" applyNumberFormat="1" applyFont="1" applyFill="1" applyBorder="1" applyAlignment="1">
      <x:alignment vertical="center" wrapText="1"/>
    </x:xf>
    <x:xf numFmtId="0" fontId="13" fillId="6" borderId="10" xfId="0" applyNumberFormat="1" applyFont="1" applyFill="1" applyBorder="1" applyAlignment="1">
      <x:alignment vertical="center" wrapText="1"/>
    </x:xf>
    <x:xf numFmtId="0" fontId="13" fillId="6" borderId="11" xfId="0" applyNumberFormat="1" applyFont="1" applyFill="1" applyBorder="1" applyAlignment="1">
      <x:alignment vertical="center" wrapText="1"/>
    </x:xf>
    <x:xf numFmtId="0" fontId="13" fillId="6" borderId="12" xfId="0" applyNumberFormat="1" applyFont="1" applyFill="1" applyBorder="1" applyAlignment="1">
      <x:alignment vertical="center" wrapText="1"/>
    </x:xf>
    <x:xf numFmtId="0" fontId="0" fillId="7" borderId="0" xfId="0" applyNumberFormat="1" applyFont="1" applyFill="1" applyBorder="1"/>
    <x:xf numFmtId="0" fontId="14" fillId="7" borderId="0" xfId="0" applyNumberFormat="1" applyFont="1" applyFill="1" applyBorder="1"/>
    <x:xf numFmtId="0" fontId="14" fillId="7" borderId="0" xfId="0" applyNumberFormat="1" applyFont="1" applyFill="1" applyBorder="1" applyAlignment="1">
      <x:alignment wrapText="1"/>
    </x:xf>
    <x:xf numFmtId="0" fontId="14" fillId="7" borderId="0" xfId="0" applyNumberFormat="1" applyFont="1" applyFill="1" applyBorder="1" applyAlignment="1">
      <x:alignment vertical="center" wrapText="1"/>
    </x:xf>
    <x:xf numFmtId="0" fontId="14" fillId="7" borderId="5" xfId="0" applyNumberFormat="1" applyFont="1" applyFill="1" applyBorder="1" applyAlignment="1">
      <x:alignment vertical="center" wrapText="1"/>
    </x:xf>
    <x:xf numFmtId="0" fontId="14" fillId="7" borderId="6" xfId="0" applyNumberFormat="1" applyFont="1" applyFill="1" applyBorder="1" applyAlignment="1">
      <x:alignment vertical="center" wrapText="1"/>
    </x:xf>
    <x:xf numFmtId="0" fontId="14" fillId="7" borderId="7" xfId="0" applyNumberFormat="1" applyFont="1" applyFill="1" applyBorder="1" applyAlignment="1">
      <x:alignment vertical="center" wrapText="1"/>
    </x:xf>
    <x:xf numFmtId="0" fontId="14" fillId="7" borderId="8" xfId="0" applyNumberFormat="1" applyFont="1" applyFill="1" applyBorder="1" applyAlignment="1">
      <x:alignment vertical="center" wrapText="1"/>
    </x:xf>
    <x:xf numFmtId="0" fontId="14" fillId="7" borderId="9" xfId="0" applyNumberFormat="1" applyFont="1" applyFill="1" applyBorder="1" applyAlignment="1">
      <x:alignment vertical="center" wrapText="1"/>
    </x:xf>
    <x:xf numFmtId="0" fontId="14" fillId="7" borderId="10" xfId="0" applyNumberFormat="1" applyFont="1" applyFill="1" applyBorder="1" applyAlignment="1">
      <x:alignment vertical="center" wrapText="1"/>
    </x:xf>
    <x:xf numFmtId="0" fontId="14" fillId="7" borderId="11" xfId="0" applyNumberFormat="1" applyFont="1" applyFill="1" applyBorder="1" applyAlignment="1">
      <x:alignment vertical="center" wrapText="1"/>
    </x:xf>
    <x:xf numFmtId="0" fontId="14" fillId="7" borderId="12" xfId="0" applyNumberFormat="1" applyFont="1" applyFill="1" applyBorder="1" applyAlignment="1">
      <x:alignment vertical="center" wrapText="1"/>
    </x:xf>
    <x:xf numFmtId="0" fontId="15" fillId="7" borderId="5" xfId="0" applyNumberFormat="1" applyFont="1" applyFill="1" applyBorder="1" applyAlignment="1">
      <x:alignment vertical="center" wrapText="1"/>
    </x:xf>
    <x:xf numFmtId="0" fontId="15" fillId="7" borderId="6" xfId="0" applyNumberFormat="1" applyFont="1" applyFill="1" applyBorder="1" applyAlignment="1">
      <x:alignment vertical="center" wrapText="1"/>
    </x:xf>
    <x:xf numFmtId="0" fontId="15" fillId="7" borderId="7" xfId="0" applyNumberFormat="1" applyFont="1" applyFill="1" applyBorder="1" applyAlignment="1">
      <x:alignment vertical="center" wrapText="1"/>
    </x:xf>
    <x:xf numFmtId="0" fontId="15" fillId="7" borderId="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9" xfId="0" applyNumberFormat="1" applyFont="1" applyFill="1" applyBorder="1" applyAlignment="1">
      <x:alignment vertical="center" wrapText="1"/>
    </x:xf>
    <x:xf numFmtId="0" fontId="15" fillId="7" borderId="10" xfId="0" applyNumberFormat="1" applyFont="1" applyFill="1" applyBorder="1" applyAlignment="1">
      <x:alignment vertical="center" wrapText="1"/>
    </x:xf>
    <x:xf numFmtId="0" fontId="15" fillId="7" borderId="11" xfId="0" applyNumberFormat="1" applyFont="1" applyFill="1" applyBorder="1" applyAlignment="1">
      <x:alignment vertical="center" wrapText="1"/>
    </x:xf>
    <x:xf numFmtId="0" fontId="15" fillId="7" borderId="12" xfId="0" applyNumberFormat="1" applyFont="1" applyFill="1" applyBorder="1" applyAlignment="1">
      <x:alignment vertical="center" wrapText="1"/>
    </x:xf>
    <x:xf numFmtId="202" fontId="0" fillId="0" borderId="4" xfId="0" applyNumberFormat="1" applyFont="1" applyFill="1" applyBorder="1" applyAlignment="1">
      <x:alignment vertical="center"/>
    </x:xf>
    <x:xf numFmtId="202" fontId="0" fillId="3" borderId="4" xfId="0" applyNumberFormat="1" applyFont="1" applyFill="1" applyBorder="1" applyAlignment="1">
      <x:alignment vertical="center"/>
    </x:xf>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9" fillId="7" borderId="5" xfId="0" applyNumberFormat="1" applyFont="1" applyFill="1" applyBorder="1" applyAlignment="1">
      <x:alignment vertical="center" wrapText="1"/>
    </x:xf>
    <x:xf numFmtId="0" fontId="9" fillId="7" borderId="6" xfId="0" applyNumberFormat="1" applyFont="1" applyFill="1" applyBorder="1" applyAlignment="1">
      <x:alignment vertical="center" wrapText="1"/>
    </x:xf>
    <x:xf numFmtId="0" fontId="9" fillId="7" borderId="7" xfId="0" applyNumberFormat="1" applyFont="1" applyFill="1" applyBorder="1" applyAlignment="1">
      <x:alignment vertical="center" wrapText="1"/>
    </x:xf>
    <x:xf numFmtId="0" fontId="9" fillId="7" borderId="8" xfId="0" applyNumberFormat="1" applyFont="1" applyFill="1" applyBorder="1" applyAlignment="1">
      <x:alignment vertical="center" wrapText="1"/>
    </x:xf>
    <x:xf numFmtId="0" fontId="9" fillId="7" borderId="9" xfId="0" applyNumberFormat="1" applyFont="1" applyFill="1" applyBorder="1" applyAlignment="1">
      <x:alignment vertical="center" wrapText="1"/>
    </x:xf>
    <x:xf numFmtId="0" fontId="9" fillId="7" borderId="10" xfId="0" applyNumberFormat="1" applyFont="1" applyFill="1" applyBorder="1" applyAlignment="1">
      <x:alignment vertical="center" wrapText="1"/>
    </x:xf>
    <x:xf numFmtId="0" fontId="9" fillId="7" borderId="11" xfId="0" applyNumberFormat="1" applyFont="1" applyFill="1" applyBorder="1" applyAlignment="1">
      <x:alignment vertical="center" wrapText="1"/>
    </x:xf>
    <x:xf numFmtId="0" fontId="9" fillId="7" borderId="12" xfId="0" applyNumberFormat="1" applyFont="1" applyFill="1" applyBorder="1" applyAlignment="1">
      <x:alignment vertical="center" wrapText="1"/>
    </x:xf>
    <x:xf numFmtId="0" fontId="16" fillId="0" borderId="0" xfId="0" applyNumberFormat="1" applyFont="1" applyFill="1" applyBorder="1"/>
    <x:xf numFmtId="207" fontId="16" fillId="0" borderId="0" xfId="0" applyNumberFormat="1" applyFont="1" applyFill="1" applyBorder="1"/>
    <x:xf numFmtId="201" fontId="2" fillId="3" borderId="4" xfId="0" applyNumberFormat="1" applyFont="1" applyFill="1" applyBorder="1" applyAlignment="1">
      <x:alignment vertical="center" wrapText="1"/>
    </x:xf>
    <x:xf numFmtId="0" fontId="17" fillId="6" borderId="4" xfId="0" applyNumberFormat="1" applyFont="1" applyFill="1" applyBorder="1" applyAlignment="1">
      <x:alignment vertical="center"/>
    </x:xf>
  </x:cellXfs>
  <x:cellStyles count="1">
    <x:cellStyle name="Normal" xfId="0"/>
  </x:cellStyles>
  <x:dxfs count="13">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6ce64a13ac48e2" /><Relationship Type="http://schemas.openxmlformats.org/officeDocument/2006/relationships/theme" Target="/xl/theme/theme1.xml" Id="R184b2e7ed2314f42" /><Relationship Type="http://schemas.openxmlformats.org/officeDocument/2006/relationships/sharedStrings" Target="/xl/sharedStrings.xml" Id="R9574d6d7c23d40e6" /><Relationship Type="http://schemas.openxmlformats.org/officeDocument/2006/relationships/worksheet" Target="/xl/worksheets/sheet1.xml" Id="Rd84be0bcc63241eb" /><Relationship Type="http://schemas.openxmlformats.org/officeDocument/2006/relationships/worksheet" Target="/xl/worksheets/sheet2.xml" Id="R4593543433cf4a45" /><Relationship Type="http://schemas.openxmlformats.org/officeDocument/2006/relationships/worksheet" Target="/xl/worksheets/sheet3.xml" Id="Rd8c5b334acb944fc" /><Relationship Type="http://schemas.openxmlformats.org/officeDocument/2006/relationships/worksheet" Target="/xl/worksheets/sheet4.xml" Id="R5f37cb86ab7046e2" /><Relationship Type="http://schemas.openxmlformats.org/officeDocument/2006/relationships/worksheet" Target="/xl/worksheets/sheet5.xml" Id="Ra9b51621f0ed460b" /><Relationship Type="http://schemas.openxmlformats.org/officeDocument/2006/relationships/worksheet" Target="/xl/worksheets/sheet6.xml" Id="Ra6877d3fc6e04b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cff140735245af" /></Relationships>
</file>

<file path=xl/drawings/_rels/drawing2.xml.rels>&#65279;<?xml version="1.0" encoding="utf-8"?><Relationships xmlns="http://schemas.openxmlformats.org/package/2006/relationships"><Relationship Type="http://schemas.openxmlformats.org/officeDocument/2006/relationships/chart" Target="/xl/drawings/charts/chart2.xml" Id="Rc9b3ecef3a764891" /><Relationship Type="http://schemas.openxmlformats.org/officeDocument/2006/relationships/chart" Target="/xl/drawings/charts/chart3.xml" Id="Re90dec74d359468d" /></Relationships>
</file>

<file path=xl/drawings/_rels/drawing3.xml.rels>&#65279;<?xml version="1.0" encoding="utf-8"?><Relationships xmlns="http://schemas.openxmlformats.org/package/2006/relationships"><Relationship Type="http://schemas.openxmlformats.org/officeDocument/2006/relationships/chart" Target="/xl/drawings/charts/chart4.xml" Id="R2d131f55cd62415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Kostenblöcke über 3 Jahre (€)</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Gesamt</c:v>
          </c:tx>
          <c:cat>
            <c:strRef>
              <c:f>'2. Executive Summary'!$A$24:$A$27</c:f>
              <c:strCache>
                <c:ptCount val="0"/>
              </c:strCache>
            </c:strRef>
          </c:cat>
          <c:val>
            <c:numRef>
              <c:f>'2. Executive Summary'!$B$24:$B$27</c:f>
              <c:numCache>
                <c:formatCode>#,##0" €";[Red](#,##0" €");-</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Die monatliche Zeitersparnis nähert sich dem Zielwert</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Brutto-Zeitersparnis je Nutzer</c:v>
          </c:tx>
          <c:marker>
            <c:symbol val="none"/>
          </c:marker>
          <c:cat>
            <c:strRef>
              <c:f>'3. 3-Jahres-Verlauf'!$J$2:$J$37</c:f>
              <c:strCache>
                <c:ptCount val="0"/>
              </c:strCache>
            </c:strRef>
          </c:cat>
          <c:val>
            <c:numRef>
              <c:f>'3. 3-Jahres-Verlauf'!$K$2:$K$37</c:f>
              <c:numCache>
                <c:formatCode>0.0" Std."</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ax val="9"/>
          <c:min val="0"/>
        </c:scaling>
        <c:delete val="0"/>
        <c:axPos val="l"/>
        <c:majorGridlines>
          <c:spPr>
            <a:ln xmlns:a="http://schemas.openxmlformats.org/drawingml/2006/main" w="9525">
              <a:solidFill>
                <a:srgbClr val="CCCCCC"/>
              </a:solidFill>
              <a:prstDash val="dash"/>
            </a:ln>
          </c:spPr>
        </c:majorGridlines>
        <c:numFmt formatCode="0.0&quot; Std.&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Realisierter Nutzen wächst nach dem Kompetenzaufbau</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Realisierter Nutzen</c:v>
          </c:tx>
          <c:cat>
            <c:strRef>
              <c:f>'3. 3-Jahres-Verlauf'!$M$2:$M$4</c:f>
              <c:strCache>
                <c:ptCount val="0"/>
              </c:strCache>
            </c:strRef>
          </c:cat>
          <c:val>
            <c:numRef>
              <c:f>'3. 3-Jahres-Verlauf'!$N$2:$N$4</c:f>
              <c:numCache>
                <c:formatCode>#,##0" €"</c:formatCode>
                <c:ptCount val="0"/>
              </c:numCache>
            </c:numRef>
          </c:val>
        </c:ser>
        <c:ser>
          <c:idx val="1"/>
          <c:order val="1"/>
          <c:tx>
            <c:v>Gesamtkosten</c:v>
          </c:tx>
          <c:cat>
            <c:strRef>
              <c:f>'3. 3-Jahres-Verlauf'!$M$2:$M$4</c:f>
              <c:strCache>
                <c:ptCount val="0"/>
              </c:strCache>
            </c:strRef>
          </c:cat>
          <c:val>
            <c:numRef>
              <c:f>'3. 3-Jahres-Verlauf'!$O$2:$O$4</c:f>
              <c:numCache>
                <c:formatCode>#,##0" €"</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Zeitersparnis: schneller Start, danach Sättigung</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Realistisch</c:v>
          </c:tx>
          <c:marker>
            <c:symbol val="none"/>
          </c:marker>
          <c:cat>
            <c:strRef>
              <c:f>'4. Szenarien'!$A$22:$A$27</c:f>
              <c:strCache>
                <c:ptCount val="0"/>
              </c:strCache>
            </c:strRef>
          </c:cat>
          <c:val>
            <c:numRef>
              <c:f>'4. Szenarien'!$B$22:$B$27</c:f>
              <c:numCache>
                <c:formatCode>0.0" Std."</c:formatCode>
                <c:ptCount val="0"/>
              </c:numCache>
            </c:numRef>
          </c:val>
        </c:ser>
        <c:ser>
          <c:idx val="1"/>
          <c:order val="1"/>
          <c:tx>
            <c:v>Studiennah</c:v>
          </c:tx>
          <c:marker>
            <c:symbol val="none"/>
          </c:marker>
          <c:cat>
            <c:strRef>
              <c:f>'4. Szenarien'!$A$22:$A$27</c:f>
              <c:strCache>
                <c:ptCount val="0"/>
              </c:strCache>
            </c:strRef>
          </c:cat>
          <c:val>
            <c:numRef>
              <c:f>'4. Szenarien'!$C$22:$C$27</c:f>
              <c:numCache>
                <c:formatCode>0.0" Std."</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ax val="10"/>
          <c:min val="0"/>
        </c:scaling>
        <c:delete val="0"/>
        <c:axPos val="l"/>
        <c:majorGridlines>
          <c:spPr>
            <a:ln xmlns:a="http://schemas.openxmlformats.org/drawingml/2006/main" w="9525">
              <a:solidFill>
                <a:srgbClr val="CCCCCC"/>
              </a:solidFill>
              <a:prstDash val="dash"/>
            </a:ln>
          </c:spPr>
        </c:majorGridlines>
        <c:numFmt formatCode="0.0&quot; Std.&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32</xdr:row>
      <xdr:rowOff>0</xdr:rowOff>
    </xdr:from>
    <xdr:to>
      <xdr:col>12</xdr:col>
      <xdr:colOff>0</xdr:colOff>
      <xdr:row>46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cff140735245af"/>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b3ecef3a764891"/>
        </a:graphicData>
      </a:graphic>
    </xdr:graphicFrame>
    <xdr:clientData/>
  </xdr:twoCellAnchor>
  <xdr:twoCellAnchor>
    <xdr:from>
      <xdr:col>0</xdr:col>
      <xdr:colOff>0</xdr:colOff>
      <xdr:row>31</xdr:row>
      <xdr:rowOff>0</xdr:rowOff>
    </xdr:from>
    <xdr:to>
      <xdr:col>8</xdr:col>
      <xdr:colOff>0</xdr:colOff>
      <xdr:row>48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0dec74d359468d"/>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19</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131f55cd62415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bdef059c327417e" /></Relationships>
</file>

<file path=xl/worksheets/_rels/sheet3.xml.rels>&#65279;<?xml version="1.0" encoding="utf-8"?><Relationships xmlns="http://schemas.openxmlformats.org/package/2006/relationships"><Relationship Type="http://schemas.openxmlformats.org/officeDocument/2006/relationships/drawing" Target="/xl/drawings/drawing2.xml" Id="R84216830ec3d4763" /></Relationships>
</file>

<file path=xl/worksheets/_rels/sheet4.xml.rels>&#65279;<?xml version="1.0" encoding="utf-8"?><Relationships xmlns="http://schemas.openxmlformats.org/package/2006/relationships"><Relationship Type="http://schemas.openxmlformats.org/officeDocument/2006/relationships/drawing" Target="/xl/drawings/drawing3.xml" Id="R048d6b7516f74969"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2" hidden="0" customWidth="1"/>
    <x:col min="3" max="3" width="21" hidden="0" customWidth="1"/>
    <x:col min="4" max="4" width="59" hidden="0" customWidth="1"/>
  </x:cols>
  <x:sheetData>
    <x:row r="1" ht="32" customHeight="1">
      <x:c r="A1" s="3" t="str">
        <x:v>COPILOT BUSINESS CASE – EINGABEN</x:v>
      </x:c>
      <x:c r="B1" s="3" t="str">
        <x:v>COPILOT BUSINESS CASE – EINGABEN</x:v>
      </x:c>
      <x:c r="C1" s="3" t="str">
        <x:v>COPILOT BUSINESS CASE – EINGABEN</x:v>
      </x:c>
      <x:c r="D1" s="3" t="str">
        <x:v>COPILOT BUSINESS CASE – EINGABEN</x:v>
      </x:c>
    </x:row>
    <x:row r="3" ht="34" customHeight="1">
      <x:c r="A3" s="6" t="str">
        <x:v>Bitte füllen Sie ausschließlich die vier gelben Felder aus. Alle Berechnungen und Annahmen finden Sie auf den folgenden, geschützten Blättern.</x:v>
      </x:c>
    </x:row>
    <x:row r="5" ht="22" customHeight="1">
      <x:c r="A5" s="12" t="str">
        <x:v>IHRE VIER ANGABEN</x:v>
      </x:c>
      <x:c r="B5" s="13" t="str">
        <x:v>IHRE VIER ANGABEN</x:v>
      </x:c>
      <x:c r="C5" s="13" t="str">
        <x:v>IHRE VIER ANGABEN</x:v>
      </x:c>
      <x:c r="D5" s="14" t="str">
        <x:v>IHRE VIER ANGABEN</x:v>
      </x:c>
    </x:row>
    <x:row r="6">
      <x:c r="A6" s="18" t="str">
        <x:v>Was ist einzutragen?</x:v>
      </x:c>
      <x:c r="B6" s="18" t="str">
        <x:v>Ihre Angabe</x:v>
      </x:c>
      <x:c r="C6" s="18" t="str">
        <x:v>Einheit</x:v>
      </x:c>
      <x:c r="D6" s="18" t="str">
        <x:v>Wofür wird die Angabe benötigt?</x:v>
      </x:c>
    </x:row>
    <x:row r="7">
      <x:c r="A7" s="20" t="str">
        <x:v>Unternehmensname</x:v>
      </x:c>
      <x:c r="B7" s="22" t="str">
        <x:v>Beispielunternehmen</x:v>
      </x:c>
      <x:c r="C7" s="20" t="str"/>
      <x:c r="D7" s="20" t="str">
        <x:v>Erscheint in der Executive Summary</x:v>
      </x:c>
    </x:row>
    <x:row r="8">
      <x:c r="A8" s="20" t="str">
        <x:v>Geplante Copilot-Nutzer</x:v>
      </x:c>
      <x:c r="B8" s="23" t="n">
        <x:v>300</x:v>
      </x:c>
      <x:c r="C8" s="20" t="str">
        <x:v>Personen</x:v>
      </x:c>
      <x:c r="D8" s="20" t="str">
        <x:v>Anzahl der Personen, die Lizenzen und Training erhalten</x:v>
      </x:c>
    </x:row>
    <x:row r="9">
      <x:c r="A9" s="20" t="str">
        <x:v>Vollkosten-Stundensatz</x:v>
      </x:c>
      <x:c r="B9" s="24" t="n">
        <x:v>50</x:v>
      </x:c>
      <x:c r="C9" s="20" t="str">
        <x:v>€/Stunde</x:v>
      </x:c>
      <x:c r="D9" s="20" t="str">
        <x:v>Personalkosten inkl. Lohnnebenkosten und Gemeinkosten</x:v>
      </x:c>
    </x:row>
    <x:row r="10">
      <x:c r="A10" s="20" t="str">
        <x:v>Copilot-Lizenzpreis</x:v>
      </x:c>
      <x:c r="B10" s="24" t="n">
        <x:v>26</x:v>
      </x:c>
      <x:c r="C10" s="20" t="str">
        <x:v>€/Nutzer/Monat</x:v>
      </x:c>
      <x:c r="D10" s="20" t="str">
        <x:v>Aktuellen Vertragspreis eintragen</x:v>
      </x:c>
    </x:row>
    <x:row r="12">
      <x:c r="A12" s="29" t="str">
        <x:v>Danach ist nichts weiter auszufüllen. Wechseln Sie zu „2. Executive Summary“, um den Business Case zu sehen. Die Kalkulation verwendet automatisch das hinterlegte Trainingsmodell, die skalierende IT-Staffel und die beiden dokumentierten Nutzenszenarien.</x:v>
      </x:c>
      <x:c r="B12" s="30" t="str">
        <x:v>Danach ist nichts weiter auszufüllen. Wechseln Sie zu „2. Executive Summary“, um den Business Case zu sehen. Die Kalkulation verwendet automatisch das hinterlegte Trainingsmodell, die skalierende IT-Staffel und die beiden dokumentierten Nutzenszenarien.</x:v>
      </x:c>
      <x:c r="C12" s="30" t="str">
        <x:v>Danach ist nichts weiter auszufüllen. Wechseln Sie zu „2. Executive Summary“, um den Business Case zu sehen. Die Kalkulation verwendet automatisch das hinterlegte Trainingsmodell, die skalierende IT-Staffel und die beiden dokumentierten Nutzenszenarien.</x:v>
      </x:c>
      <x:c r="D12" s="31" t="str">
        <x:v>Danach ist nichts weiter auszufüllen. Wechseln Sie zu „2. Executive Summary“, um den Business Case zu sehen. Die Kalkulation verwendet automatisch das hinterlegte Trainingsmodell, die skalierende IT-Staffel und die beiden dokumentierten Nutzenszenarien.</x:v>
      </x:c>
    </x:row>
    <x:row r="13">
      <x:c r="A13" s="32" t="str">
        <x:v>Danach ist nichts weiter auszufüllen. Wechseln Sie zu „2. Executive Summary“, um den Business Case zu sehen. Die Kalkulation verwendet automatisch das hinterlegte Trainingsmodell, die skalierende IT-Staffel und die beiden dokumentierten Nutzenszenarien.</x:v>
      </x:c>
      <x:c r="B13" s="28" t="str">
        <x:v>Danach ist nichts weiter auszufüllen. Wechseln Sie zu „2. Executive Summary“, um den Business Case zu sehen. Die Kalkulation verwendet automatisch das hinterlegte Trainingsmodell, die skalierende IT-Staffel und die beiden dokumentierten Nutzenszenarien.</x:v>
      </x:c>
      <x:c r="C13" s="28" t="str">
        <x:v>Danach ist nichts weiter auszufüllen. Wechseln Sie zu „2. Executive Summary“, um den Business Case zu sehen. Die Kalkulation verwendet automatisch das hinterlegte Trainingsmodell, die skalierende IT-Staffel und die beiden dokumentierten Nutzenszenarien.</x:v>
      </x:c>
      <x:c r="D13" s="33" t="str">
        <x:v>Danach ist nichts weiter auszufüllen. Wechseln Sie zu „2. Executive Summary“, um den Business Case zu sehen. Die Kalkulation verwendet automatisch das hinterlegte Trainingsmodell, die skalierende IT-Staffel und die beiden dokumentierten Nutzenszenarien.</x:v>
      </x:c>
    </x:row>
    <x:row r="14">
      <x:c r="A14" s="34" t="str">
        <x:v>Danach ist nichts weiter auszufüllen. Wechseln Sie zu „2. Executive Summary“, um den Business Case zu sehen. Die Kalkulation verwendet automatisch das hinterlegte Trainingsmodell, die skalierende IT-Staffel und die beiden dokumentierten Nutzenszenarien.</x:v>
      </x:c>
      <x:c r="B14" s="35" t="str">
        <x:v>Danach ist nichts weiter auszufüllen. Wechseln Sie zu „2. Executive Summary“, um den Business Case zu sehen. Die Kalkulation verwendet automatisch das hinterlegte Trainingsmodell, die skalierende IT-Staffel und die beiden dokumentierten Nutzenszenarien.</x:v>
      </x:c>
      <x:c r="C14" s="35" t="str">
        <x:v>Danach ist nichts weiter auszufüllen. Wechseln Sie zu „2. Executive Summary“, um den Business Case zu sehen. Die Kalkulation verwendet automatisch das hinterlegte Trainingsmodell, die skalierende IT-Staffel und die beiden dokumentierten Nutzenszenarien.</x:v>
      </x:c>
      <x:c r="D14" s="36" t="str">
        <x:v>Danach ist nichts weiter auszufüllen. Wechseln Sie zu „2. Executive Summary“, um den Business Case zu sehen. Die Kalkulation verwendet automatisch das hinterlegte Trainingsmodell, die skalierende IT-Staffel und die beiden dokumentierten Nutzenszenarien.</x:v>
      </x:c>
    </x:row>
  </x:sheetData>
  <x:mergeCells>
    <x:mergeCell ref="A1:D1"/>
    <x:mergeCell ref="A3:D3"/>
    <x:mergeCell ref="A5:D5"/>
    <x:mergeCell ref="A12:D14"/>
  </x:mergeCells>
  <x:dataValidations count="2">
    <x:dataValidation type="whole" operator="between" sqref="B8">
      <x:formula1>1</x:formula1>
      <x:formula2>100000</x:formula2>
    </x:dataValidation>
    <x:dataValidation type="decimal" operator="greaterThanOrEqual" sqref="B9:B10">
      <x:formula1>0</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5" hidden="0" customWidth="1"/>
    <x:col min="3" max="3" width="18" hidden="0" customWidth="1"/>
    <x:col min="4" max="4" width="29" hidden="0" customWidth="1"/>
    <x:col min="5" max="5" width="20" hidden="0" customWidth="1"/>
    <x:col min="6" max="6" width="17" hidden="0" customWidth="1"/>
    <x:col min="7" max="7" width="17" hidden="0" customWidth="1"/>
    <x:col min="8" max="8" width="17" hidden="0" customWidth="1"/>
  </x:cols>
  <x:sheetData>
    <x:row r="1" ht="32" customHeight="1">
      <x:c r="A1" s="3" t="str">
        <x:v>COPILOT BUSINESS CASE – 3-JAHRES-BETRACHTUNG</x:v>
      </x:c>
      <x:c r="B1" s="3" t="str">
        <x:v>COPILOT BUSINESS CASE – 3-JAHRES-BETRACHTUNG</x:v>
      </x:c>
      <x:c r="C1" s="3" t="str">
        <x:v>COPILOT BUSINESS CASE – 3-JAHRES-BETRACHTUNG</x:v>
      </x:c>
      <x:c r="D1" s="3" t="str">
        <x:v>COPILOT BUSINESS CASE – 3-JAHRES-BETRACHTUNG</x:v>
      </x:c>
      <x:c r="E1" s="3" t="str">
        <x:v>COPILOT BUSINESS CASE – 3-JAHRES-BETRACHTUNG</x:v>
      </x:c>
      <x:c r="F1" s="3" t="str">
        <x:v>COPILOT BUSINESS CASE – 3-JAHRES-BETRACHTUNG</x:v>
      </x:c>
      <x:c r="G1" s="3" t="str">
        <x:v>COPILOT BUSINESS CASE – 3-JAHRES-BETRACHTUNG</x:v>
      </x:c>
      <x:c r="H1" s="3" t="str">
        <x:v>COPILOT BUSINESS CASE – 3-JAHRES-BETRACHTUNG</x:v>
      </x:c>
    </x:row>
    <x:row r="3">
      <x:c r="A3" s="37" t="str">
        <x:f>"Planungsrechnung für "&amp;'1. Eingaben'!B7&amp;" | Realistisches Szenario | 36 Monate | Stand 27.07.2026"</x:f>
        <x:v>Planungsrechnung für Beispielunternehmen | Realistisches Szenario | 36 Monate | Stand 27.07.2026</x:v>
      </x:c>
    </x:row>
    <x:row r="5" ht="22" customHeight="1">
      <x:c r="A5" s="12" t="str">
        <x:v>REALISTISCHES SZENARIO – ENTSCHEIDUNGSRELEVANTE KENNZAHLEN</x:v>
      </x:c>
      <x:c r="B5" s="13" t="str">
        <x:v>REALISTISCHES SZENARIO – ENTSCHEIDUNGSRELEVANTE KENNZAHLEN</x:v>
      </x:c>
      <x:c r="C5" s="13" t="str">
        <x:v>REALISTISCHES SZENARIO – ENTSCHEIDUNGSRELEVANTE KENNZAHLEN</x:v>
      </x:c>
      <x:c r="D5" s="13" t="str">
        <x:v>REALISTISCHES SZENARIO – ENTSCHEIDUNGSRELEVANTE KENNZAHLEN</x:v>
      </x:c>
      <x:c r="E5" s="14" t="str">
        <x:v>REALISTISCHES SZENARIO – ENTSCHEIDUNGSRELEVANTE KENNZAHLEN</x:v>
      </x:c>
    </x:row>
    <x:row r="6">
      <x:c r="A6" s="20" t="str">
        <x:v>Geplante Copilot-Nutzer</x:v>
      </x:c>
      <x:c r="B6" s="45" t="n">
        <x:f>'1. Eingaben'!B8</x:f>
        <x:v>300</x:v>
      </x:c>
      <x:c r="D6" s="20" t="str">
        <x:v>Ziel-Zeitersparnis pro Monat</x:v>
      </x:c>
      <x:c r="E6" s="71" t="n">
        <x:f>'5. Berechnung'!B4</x:f>
        <x:v>8</x:v>
      </x:c>
    </x:row>
    <x:row r="7">
      <x:c r="A7" s="20" t="str">
        <x:v>Gesamtkosten Jahr 1</x:v>
      </x:c>
      <x:c r="B7" s="69" t="n">
        <x:f>'5. Berechnung'!G19</x:f>
        <x:v>275072</x:v>
      </x:c>
      <x:c r="D7" s="20" t="str">
        <x:v>Ø Brutto-Zeitersparnis Jahr 1</x:v>
      </x:c>
      <x:c r="E7" s="71" t="n">
        <x:f>'5. Berechnung'!B5</x:f>
        <x:v>7.103768939877063</x:v>
      </x:c>
    </x:row>
    <x:row r="8">
      <x:c r="A8" s="20" t="str">
        <x:v>Realisierter Nutzen Jahr 1</x:v>
      </x:c>
      <x:c r="B8" s="69" t="n">
        <x:f>'5. Berechnung'!B19</x:f>
        <x:v>639339.2045889356</x:v>
      </x:c>
      <x:c r="D8" s="20" t="str">
        <x:v>Kapazitätswert pro Nutzer Jahr 1</x:v>
      </x:c>
      <x:c r="E8" s="69" t="n">
        <x:f>'5. Berechnung'!B5*12*'1. Eingaben'!B9</x:f>
        <x:v>4262.261363926237</x:v>
      </x:c>
    </x:row>
    <x:row r="9">
      <x:c r="A9" s="20" t="str">
        <x:v>ROI Jahr 1</x:v>
      </x:c>
      <x:c r="B9" s="57" t="n">
        <x:f>IF(B7=0,0,(B8-B7)/B7)</x:f>
        <x:v>1.3242613010009583</x:v>
      </x:c>
      <x:c r="D9" s="20" t="str">
        <x:v>Realisierter Nutzen pro Nutzer Jahr 1</x:v>
      </x:c>
      <x:c r="E9" s="69" t="n">
        <x:f>'5. Berechnung'!B19/'1. Eingaben'!B8</x:f>
        <x:v>2131.1306819631186</x:v>
      </x:c>
    </x:row>
    <x:row r="10">
      <x:c r="A10" s="20" t="str">
        <x:v>Gesamtkosten 3 Jahre</x:v>
      </x:c>
      <x:c r="B10" s="69" t="n">
        <x:f>'5. Berechnung'!B9</x:f>
        <x:v>624736</x:v>
      </x:c>
      <x:c r="D10" s="20" t="str">
        <x:v>Gesamtkosten pro Nutzer Jahr 1</x:v>
      </x:c>
      <x:c r="E10" s="69" t="n">
        <x:f>'5. Berechnung'!G19/'1. Eingaben'!B8</x:f>
        <x:v>916.9066666666666</x:v>
      </x:c>
    </x:row>
    <x:row r="11">
      <x:c r="A11" s="20" t="str">
        <x:v>Realisierter Nutzen 3 Jahre</x:v>
      </x:c>
      <x:c r="B11" s="69" t="n">
        <x:f>'5. Berechnung'!B8</x:f>
        <x:v>2078059.1870836332</x:v>
      </x:c>
      <x:c r="D11" s="20" t="str">
        <x:v>Netto-Nutzen pro Nutzer Jahr 1</x:v>
      </x:c>
      <x:c r="E11" s="69" t="n">
        <x:f>('5. Berechnung'!B19-'5. Berechnung'!G19)/'1. Eingaben'!B8</x:f>
        <x:v>1214.224015296452</x:v>
      </x:c>
    </x:row>
    <x:row r="12">
      <x:c r="A12" s="20" t="str">
        <x:v>Netto-Nutzen 3 Jahre</x:v>
      </x:c>
      <x:c r="B12" s="69" t="n">
        <x:f>'5. Berechnung'!B10</x:f>
        <x:v>1453323.1870836332</x:v>
      </x:c>
      <x:c r="D12" s="20" t="str">
        <x:v>Wirtschaftlich realisierbar</x:v>
      </x:c>
      <x:c r="E12" s="43" t="n">
        <x:f>'4. Szenarien'!D6</x:f>
        <x:v>0.5</x:v>
      </x:c>
    </x:row>
    <x:row r="13">
      <x:c r="A13" s="20" t="str">
        <x:v>ROI 3 Jahre</x:v>
      </x:c>
      <x:c r="B13" s="57" t="n">
        <x:f>'5. Berechnung'!B11</x:f>
        <x:v>2.3262997283390634</x:v>
      </x:c>
      <x:c r="D13" s="20" t="str">
        <x:v>IT-Setup automatisch</x:v>
      </x:c>
      <x:c r="E13" s="69" t="n">
        <x:f>'5. Berechnung'!E19</x:f>
        <x:v>27000</x:v>
      </x:c>
    </x:row>
    <x:row r="14">
      <x:c r="A14" s="20" t="str">
        <x:v>Break-even</x:v>
      </x:c>
      <x:c r="B14" s="70" t="n">
        <x:f>'5. Berechnung'!B12</x:f>
        <x:v>5</x:v>
      </x:c>
    </x:row>
    <x:row r="15" ht="22" customHeight="1">
      <x:c r="A15" s="12" t="str">
        <x:v>REALISTISCHES SZENARIO – ENTWICKLUNG NACH JAHR</x:v>
      </x:c>
      <x:c r="B15" s="13" t="str">
        <x:v>REALISTISCHES SZENARIO – ENTWICKLUNG NACH JAHR</x:v>
      </x:c>
      <x:c r="C15" s="13" t="str">
        <x:v>REALISTISCHES SZENARIO – ENTWICKLUNG NACH JAHR</x:v>
      </x:c>
      <x:c r="D15" s="13" t="str">
        <x:v>REALISTISCHES SZENARIO – ENTWICKLUNG NACH JAHR</x:v>
      </x:c>
      <x:c r="E15" s="13" t="str">
        <x:v>REALISTISCHES SZENARIO – ENTWICKLUNG NACH JAHR</x:v>
      </x:c>
      <x:c r="F15" s="13" t="str">
        <x:v>REALISTISCHES SZENARIO – ENTWICKLUNG NACH JAHR</x:v>
      </x:c>
      <x:c r="G15" s="13" t="str">
        <x:v>REALISTISCHES SZENARIO – ENTWICKLUNG NACH JAHR</x:v>
      </x:c>
      <x:c r="H15" s="14" t="str">
        <x:v>REALISTISCHES SZENARIO – ENTWICKLUNG NACH JAHR</x:v>
      </x:c>
    </x:row>
    <x:row r="16">
      <x:c r="A16" s="18" t="str">
        <x:f>'5. Berechnung'!A18</x:f>
        <x:v>Jahr</x:v>
      </x:c>
      <x:c r="B16" s="18" t="str">
        <x:f>'5. Berechnung'!B18</x:f>
        <x:v>Realisierter Nutzen</x:v>
      </x:c>
      <x:c r="C16" s="18" t="str">
        <x:f>'5. Berechnung'!C18</x:f>
        <x:v>Lizenzen</x:v>
      </x:c>
      <x:c r="D16" s="18" t="str">
        <x:f>'5. Berechnung'!D18</x:f>
        <x:v>Training</x:v>
      </x:c>
      <x:c r="E16" s="18" t="str">
        <x:f>'5. Berechnung'!E18</x:f>
        <x:v>IT-Setup</x:v>
      </x:c>
      <x:c r="F16" s="18" t="str">
        <x:f>'5. Berechnung'!F18</x:f>
        <x:v>Change &amp; Adoption</x:v>
      </x:c>
      <x:c r="G16" s="18" t="str">
        <x:f>'5. Berechnung'!G18</x:f>
        <x:v>Gesamtkosten</x:v>
      </x:c>
      <x:c r="H16" s="18" t="str">
        <x:f>'5. Berechnung'!H18</x:f>
        <x:v>Netto-Nutzen</x:v>
      </x:c>
    </x:row>
    <x:row r="17">
      <x:c r="A17" s="20" t="n">
        <x:f>'5. Berechnung'!A19</x:f>
        <x:v>1</x:v>
      </x:c>
      <x:c r="B17" s="55" t="n">
        <x:f>'5. Berechnung'!B19</x:f>
        <x:v>639339.2045889356</x:v>
      </x:c>
      <x:c r="C17" s="55" t="n">
        <x:f>'5. Berechnung'!C19</x:f>
        <x:v>93600</x:v>
      </x:c>
      <x:c r="D17" s="55" t="n">
        <x:f>'5. Berechnung'!D19</x:f>
        <x:v>125000</x:v>
      </x:c>
      <x:c r="E17" s="55" t="n">
        <x:f>'5. Berechnung'!E19</x:f>
        <x:v>27000</x:v>
      </x:c>
      <x:c r="F17" s="55" t="n">
        <x:f>'5. Berechnung'!F19</x:f>
        <x:v>29472</x:v>
      </x:c>
      <x:c r="G17" s="55" t="n">
        <x:f>'5. Berechnung'!G19</x:f>
        <x:v>275072</x:v>
      </x:c>
      <x:c r="H17" s="55" t="n">
        <x:f>'5. Berechnung'!H19</x:f>
        <x:v>364267.2045889356</x:v>
      </x:c>
    </x:row>
    <x:row r="18">
      <x:c r="A18" s="20" t="n">
        <x:f>'5. Berechnung'!A20</x:f>
        <x:v>2</x:v>
      </x:c>
      <x:c r="B18" s="55" t="n">
        <x:f>'5. Berechnung'!B20</x:f>
        <x:v>718739.6750717022</x:v>
      </x:c>
      <x:c r="C18" s="55" t="n">
        <x:f>'5. Berechnung'!C20</x:f>
        <x:v>93600</x:v>
      </x:c>
      <x:c r="D18" s="55" t="n">
        <x:f>'5. Berechnung'!D20</x:f>
        <x:v>62500</x:v>
      </x:c>
      <x:c r="E18" s="55" t="n">
        <x:f>'5. Berechnung'!E20</x:f>
        <x:v>0</x:v>
      </x:c>
      <x:c r="F18" s="55" t="n">
        <x:f>'5. Berechnung'!F20</x:f>
        <x:v>18732</x:v>
      </x:c>
      <x:c r="G18" s="55" t="n">
        <x:f>'5. Berechnung'!G20</x:f>
        <x:v>174832</x:v>
      </x:c>
      <x:c r="H18" s="55" t="n">
        <x:f>'5. Berechnung'!H20</x:f>
        <x:v>543907.6750717022</x:v>
      </x:c>
    </x:row>
    <x:row r="19">
      <x:c r="A19" s="20" t="n">
        <x:f>'5. Berechnung'!A21</x:f>
        <x:v>3</x:v>
      </x:c>
      <x:c r="B19" s="55" t="n">
        <x:f>'5. Berechnung'!B21</x:f>
        <x:v>719980.3074229953</x:v>
      </x:c>
      <x:c r="C19" s="55" t="n">
        <x:f>'5. Berechnung'!C21</x:f>
        <x:v>93600</x:v>
      </x:c>
      <x:c r="D19" s="55" t="n">
        <x:f>'5. Berechnung'!D21</x:f>
        <x:v>62500</x:v>
      </x:c>
      <x:c r="E19" s="55" t="n">
        <x:f>'5. Berechnung'!E21</x:f>
        <x:v>0</x:v>
      </x:c>
      <x:c r="F19" s="55" t="n">
        <x:f>'5. Berechnung'!F21</x:f>
        <x:v>18732</x:v>
      </x:c>
      <x:c r="G19" s="55" t="n">
        <x:f>'5. Berechnung'!G21</x:f>
        <x:v>174832</x:v>
      </x:c>
      <x:c r="H19" s="55" t="n">
        <x:f>'5. Berechnung'!H21</x:f>
        <x:v>545148.3074229953</x:v>
      </x:c>
    </x:row>
    <x:row r="22" ht="22" customHeight="1">
      <x:c r="A22" s="12" t="str">
        <x:v>KOSTENBLÖCKE ÜBER 3 JAHRE</x:v>
      </x:c>
      <x:c r="B22" s="13" t="str">
        <x:v>KOSTENBLÖCKE ÜBER 3 JAHRE</x:v>
      </x:c>
      <x:c r="C22" s="14" t="str">
        <x:v>KOSTENBLÖCKE ÜBER 3 JAHRE</x:v>
      </x:c>
      <x:c r="D22" s="12" t="str">
        <x:v>WARUM DAS IT-SETUP SKALIERT</x:v>
      </x:c>
      <x:c r="E22" s="13" t="str">
        <x:v>WARUM DAS IT-SETUP SKALIERT</x:v>
      </x:c>
      <x:c r="F22" s="13" t="str">
        <x:v>WARUM DAS IT-SETUP SKALIERT</x:v>
      </x:c>
      <x:c r="G22" s="13" t="str">
        <x:v>WARUM DAS IT-SETUP SKALIERT</x:v>
      </x:c>
      <x:c r="H22" s="14" t="str">
        <x:v>WARUM DAS IT-SETUP SKALIERT</x:v>
      </x:c>
    </x:row>
    <x:row r="23">
      <x:c r="A23" s="18" t="str">
        <x:v>Kostenblock</x:v>
      </x:c>
      <x:c r="B23" s="18" t="str">
        <x:v>Gesamt</x:v>
      </x:c>
      <x:c r="C23" s="18" t="str">
        <x:v>Anteil</x:v>
      </x:c>
      <x:c r="D23" s="18" t="str">
        <x:v>Beispielgröße</x:v>
      </x:c>
      <x:c r="E23" s="18" t="str">
        <x:v>IT-Setup</x:v>
      </x:c>
      <x:c r="F23" s="18" t="str">
        <x:v>Pro Nutzer</x:v>
      </x:c>
    </x:row>
    <x:row r="24">
      <x:c r="A24" s="20" t="str">
        <x:v>Lizenzen</x:v>
      </x:c>
      <x:c r="B24" s="55" t="n">
        <x:f>SUM('5. Berechnung'!C19:C21)</x:f>
        <x:v>280800</x:v>
      </x:c>
      <x:c r="C24" s="56" t="n">
        <x:f>IF($B$28=0,0,B24/$B$28)</x:f>
        <x:v>0.4494698560672028</x:v>
      </x:c>
      <x:c r="D24" s="66" t="n">
        <x:v>10</x:v>
      </x:c>
      <x:c r="E24" s="55" t="n">
        <x:f>'6. Quellen &amp; Methodik'!B16+MIN(D24,50)*'6. Quellen &amp; Methodik'!B17+MAX(MIN(D24-50,200),0)*'6. Quellen &amp; Methodik'!B18+MAX(MIN(D24-250,750),0)*'6. Quellen &amp; Methodik'!B19+MAX(D24-1000,0)*'6. Quellen &amp; Methodik'!B20</x:f>
        <x:v>4000</x:v>
      </x:c>
      <x:c r="F24" s="55" t="n">
        <x:f>E24/D24</x:f>
        <x:v>400</x:v>
      </x:c>
    </x:row>
    <x:row r="25">
      <x:c r="A25" s="20" t="str">
        <x:v>Training &amp; Weiterbildung</x:v>
      </x:c>
      <x:c r="B25" s="55" t="n">
        <x:f>SUM('5. Berechnung'!D19:D21)</x:f>
        <x:v>250000</x:v>
      </x:c>
      <x:c r="C25" s="56" t="n">
        <x:f>IF($B$28=0,0,B25/$B$28)</x:f>
        <x:v>0.4001690313988629</x:v>
      </x:c>
      <x:c r="D25" s="66" t="n">
        <x:v>300</x:v>
      </x:c>
      <x:c r="E25" s="55" t="n">
        <x:f>'6. Quellen &amp; Methodik'!B16+MIN(D25,50)*'6. Quellen &amp; Methodik'!B17+MAX(MIN(D25-50,200),0)*'6. Quellen &amp; Methodik'!B18+MAX(MIN(D25-250,750),0)*'6. Quellen &amp; Methodik'!B19+MAX(D25-1000,0)*'6. Quellen &amp; Methodik'!B20</x:f>
        <x:v>27000</x:v>
      </x:c>
      <x:c r="F25" s="55" t="n">
        <x:f>E25/D25</x:f>
        <x:v>90</x:v>
      </x:c>
    </x:row>
    <x:row r="26">
      <x:c r="A26" s="20" t="str">
        <x:v>IT-Setup &amp; Einführung</x:v>
      </x:c>
      <x:c r="B26" s="55" t="n">
        <x:f>SUM('5. Berechnung'!E19:E21)</x:f>
        <x:v>27000</x:v>
      </x:c>
      <x:c r="C26" s="56" t="n">
        <x:f>IF($B$28=0,0,B26/$B$28)</x:f>
        <x:v>0.04321825539107719</x:v>
      </x:c>
      <x:c r="D26" s="66" t="n">
        <x:v>1000</x:v>
      </x:c>
      <x:c r="E26" s="55" t="n">
        <x:f>'6. Quellen &amp; Methodik'!B16+MIN(D26,50)*'6. Quellen &amp; Methodik'!B17+MAX(MIN(D26-50,200),0)*'6. Quellen &amp; Methodik'!B18+MAX(MIN(D26-250,750),0)*'6. Quellen &amp; Methodik'!B19+MAX(D26-1000,0)*'6. Quellen &amp; Methodik'!B20</x:f>
        <x:v>55000</x:v>
      </x:c>
      <x:c r="F26" s="55" t="n">
        <x:f>E26/D26</x:f>
        <x:v>55</x:v>
      </x:c>
    </x:row>
    <x:row r="27">
      <x:c r="A27" s="20" t="str">
        <x:v>Change &amp; Adoption</x:v>
      </x:c>
      <x:c r="B27" s="55" t="n">
        <x:f>SUM('5. Berechnung'!F19:F21)</x:f>
        <x:v>66936</x:v>
      </x:c>
      <x:c r="C27" s="56" t="n">
        <x:f>IF($B$28=0,0,B27/$B$28)</x:f>
        <x:v>0.10714285714285714</x:v>
      </x:c>
      <x:c r="D27" s="66" t="n">
        <x:v>5000</x:v>
      </x:c>
      <x:c r="E27" s="55" t="n">
        <x:f>'6. Quellen &amp; Methodik'!B16+MIN(D27,50)*'6. Quellen &amp; Methodik'!B17+MAX(MIN(D27-50,200),0)*'6. Quellen &amp; Methodik'!B18+MAX(MIN(D27-250,750),0)*'6. Quellen &amp; Methodik'!B19+MAX(D27-1000,0)*'6. Quellen &amp; Methodik'!B20</x:f>
        <x:v>135000</x:v>
      </x:c>
      <x:c r="F27" s="55" t="n">
        <x:f>E27/D27</x:f>
        <x:v>27</x:v>
      </x:c>
    </x:row>
    <x:row r="28">
      <x:c r="A28" s="20" t="str">
        <x:v>Gesamtkosten</x:v>
      </x:c>
      <x:c r="B28" s="69" t="n">
        <x:f>SUM(B24:B27)</x:f>
        <x:v>624736</x:v>
      </x:c>
      <x:c r="C28" s="43" t="n">
        <x:f>SUM(C24:C27)</x:f>
        <x:v>0.9999999999999999</x:v>
      </x:c>
    </x:row>
    <x:row r="29">
      <x:c r="D29" s="29" t="str">
        <x:v>Die Größenstaffel berücksichtigt einen festen Grundaufwand und sinkende Grenzkosten je zusätzlichem Nutzer. Dadurch nimmt der IT-Aufwand insgesamt zu, während die Kosten pro Nutzer mit der Unternehmensgröße sinken.</x:v>
      </x:c>
      <x:c r="E29" s="30" t="str">
        <x:v>Die Größenstaffel berücksichtigt einen festen Grundaufwand und sinkende Grenzkosten je zusätzlichem Nutzer. Dadurch nimmt der IT-Aufwand insgesamt zu, während die Kosten pro Nutzer mit der Unternehmensgröße sinken.</x:v>
      </x:c>
      <x:c r="F29" s="30" t="str">
        <x:v>Die Größenstaffel berücksichtigt einen festen Grundaufwand und sinkende Grenzkosten je zusätzlichem Nutzer. Dadurch nimmt der IT-Aufwand insgesamt zu, während die Kosten pro Nutzer mit der Unternehmensgröße sinken.</x:v>
      </x:c>
      <x:c r="G29" s="30" t="str">
        <x:v>Die Größenstaffel berücksichtigt einen festen Grundaufwand und sinkende Grenzkosten je zusätzlichem Nutzer. Dadurch nimmt der IT-Aufwand insgesamt zu, während die Kosten pro Nutzer mit der Unternehmensgröße sinken.</x:v>
      </x:c>
      <x:c r="H29" s="31" t="str">
        <x:v>Die Größenstaffel berücksichtigt einen festen Grundaufwand und sinkende Grenzkosten je zusätzlichem Nutzer. Dadurch nimmt der IT-Aufwand insgesamt zu, während die Kosten pro Nutzer mit der Unternehmensgröße sinken.</x:v>
      </x:c>
    </x:row>
    <x:row r="30">
      <x:c r="D30" s="32" t="str">
        <x:v>Die Größenstaffel berücksichtigt einen festen Grundaufwand und sinkende Grenzkosten je zusätzlichem Nutzer. Dadurch nimmt der IT-Aufwand insgesamt zu, während die Kosten pro Nutzer mit der Unternehmensgröße sinken.</x:v>
      </x:c>
      <x:c r="E30" s="28" t="str">
        <x:v>Die Größenstaffel berücksichtigt einen festen Grundaufwand und sinkende Grenzkosten je zusätzlichem Nutzer. Dadurch nimmt der IT-Aufwand insgesamt zu, während die Kosten pro Nutzer mit der Unternehmensgröße sinken.</x:v>
      </x:c>
      <x:c r="F30" s="28" t="str">
        <x:v>Die Größenstaffel berücksichtigt einen festen Grundaufwand und sinkende Grenzkosten je zusätzlichem Nutzer. Dadurch nimmt der IT-Aufwand insgesamt zu, während die Kosten pro Nutzer mit der Unternehmensgröße sinken.</x:v>
      </x:c>
      <x:c r="G30" s="28" t="str">
        <x:v>Die Größenstaffel berücksichtigt einen festen Grundaufwand und sinkende Grenzkosten je zusätzlichem Nutzer. Dadurch nimmt der IT-Aufwand insgesamt zu, während die Kosten pro Nutzer mit der Unternehmensgröße sinken.</x:v>
      </x:c>
      <x:c r="H30" s="33" t="str">
        <x:v>Die Größenstaffel berücksichtigt einen festen Grundaufwand und sinkende Grenzkosten je zusätzlichem Nutzer. Dadurch nimmt der IT-Aufwand insgesamt zu, während die Kosten pro Nutzer mit der Unternehmensgröße sinken.</x:v>
      </x:c>
    </x:row>
    <x:row r="31">
      <x:c r="D31" s="34" t="str">
        <x:v>Die Größenstaffel berücksichtigt einen festen Grundaufwand und sinkende Grenzkosten je zusätzlichem Nutzer. Dadurch nimmt der IT-Aufwand insgesamt zu, während die Kosten pro Nutzer mit der Unternehmensgröße sinken.</x:v>
      </x:c>
      <x:c r="E31" s="35" t="str">
        <x:v>Die Größenstaffel berücksichtigt einen festen Grundaufwand und sinkende Grenzkosten je zusätzlichem Nutzer. Dadurch nimmt der IT-Aufwand insgesamt zu, während die Kosten pro Nutzer mit der Unternehmensgröße sinken.</x:v>
      </x:c>
      <x:c r="F31" s="35" t="str">
        <x:v>Die Größenstaffel berücksichtigt einen festen Grundaufwand und sinkende Grenzkosten je zusätzlichem Nutzer. Dadurch nimmt der IT-Aufwand insgesamt zu, während die Kosten pro Nutzer mit der Unternehmensgröße sinken.</x:v>
      </x:c>
      <x:c r="G31" s="35" t="str">
        <x:v>Die Größenstaffel berücksichtigt einen festen Grundaufwand und sinkende Grenzkosten je zusätzlichem Nutzer. Dadurch nimmt der IT-Aufwand insgesamt zu, während die Kosten pro Nutzer mit der Unternehmensgröße sinken.</x:v>
      </x:c>
      <x:c r="H31" s="36" t="str">
        <x:v>Die Größenstaffel berücksichtigt einen festen Grundaufwand und sinkende Grenzkosten je zusätzlichem Nutzer. Dadurch nimmt der IT-Aufwand insgesamt zu, während die Kosten pro Nutzer mit der Unternehmensgröße sinken.</x:v>
      </x:c>
    </x:row>
    <x:row r="33" ht="22" customHeight="1">
      <x:c r="A33" s="12" t="str">
        <x:v>SZENARIOVERGLEICH ÜBER 3 JAHRE</x:v>
      </x:c>
      <x:c r="B33" s="13" t="str">
        <x:v>SZENARIOVERGLEICH ÜBER 3 JAHRE</x:v>
      </x:c>
      <x:c r="C33" s="13" t="str">
        <x:v>SZENARIOVERGLEICH ÜBER 3 JAHRE</x:v>
      </x:c>
      <x:c r="D33" s="13" t="str">
        <x:v>SZENARIOVERGLEICH ÜBER 3 JAHRE</x:v>
      </x:c>
      <x:c r="E33" s="14" t="str">
        <x:v>SZENARIOVERGLEICH ÜBER 3 JAHRE</x:v>
      </x:c>
    </x:row>
    <x:row r="34">
      <x:c r="A34" s="18" t="str">
        <x:v>Szenario</x:v>
      </x:c>
      <x:c r="B34" s="18" t="str">
        <x:v>Realisierter Nutzen</x:v>
      </x:c>
      <x:c r="C34" s="18" t="str">
        <x:v>Gesamtkosten</x:v>
      </x:c>
      <x:c r="D34" s="18" t="str">
        <x:v>ROI</x:v>
      </x:c>
      <x:c r="E34" s="18" t="str">
        <x:v>Break-even</x:v>
      </x:c>
    </x:row>
    <x:row r="35">
      <x:c r="A35" s="39" t="str">
        <x:v>Realistisch</x:v>
      </x:c>
      <x:c r="B35" s="64" t="n">
        <x:f>'5. Berechnung'!B8</x:f>
        <x:v>2078059.1870836332</x:v>
      </x:c>
      <x:c r="C35" s="64" t="n">
        <x:f>'5. Berechnung'!B9</x:f>
        <x:v>624736</x:v>
      </x:c>
      <x:c r="D35" s="44" t="n">
        <x:f>'5. Berechnung'!B11</x:f>
        <x:v>2.3262997283390634</x:v>
      </x:c>
      <x:c r="E35" s="65" t="n">
        <x:f>'5. Berechnung'!B12</x:f>
        <x:v>5</x:v>
      </x:c>
    </x:row>
    <x:row r="36">
      <x:c r="A36" s="20" t="str">
        <x:v>Studiennah</x:v>
      </x:c>
      <x:c r="B36" s="55" t="n">
        <x:f>'5. Berechnung'!C8</x:f>
        <x:v>2337816.585469087</x:v>
      </x:c>
      <x:c r="C36" s="55" t="n">
        <x:f>'5. Berechnung'!C9</x:f>
        <x:v>624736</x:v>
      </x:c>
      <x:c r="D36" s="57" t="n">
        <x:f>'5. Berechnung'!C11</x:f>
        <x:v>2.742087194381446</x:v>
      </x:c>
      <x:c r="E36" s="58" t="n">
        <x:f>'5. Berechnung'!C12</x:f>
        <x:v>5</x:v>
      </x:c>
    </x:row>
    <x:row r="38">
      <x:c r="A38" s="86"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38" s="87"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38" s="87"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38" s="87"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38" s="88"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39">
      <x:c r="A39" s="89"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39"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39"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39"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39" s="91"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0">
      <x:c r="A40" s="89"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40"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40"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40" s="9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40" s="91"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1">
      <x:c r="A41" s="92"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41" s="9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41" s="9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41" s="9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41" s="94"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3">
      <x:c r="A43" s="107"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3" s="108"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3" s="108"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3" s="108"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3" s="109"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4">
      <x:c r="A44" s="110"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4"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4"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4"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4"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5">
      <x:c r="A45" s="110"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5"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5"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5"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5"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6">
      <x:c r="A46" s="113"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6" s="114"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6" s="114"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6" s="114"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6" s="115"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sheetData>
  <x:sheetProtection sheet="1" objects="1" scenarios="1" formatCells="1" formatColumns="1" formatRows="1" insertColumns="1" insertRows="1" insertHyperlinks="1" deleteColumns="1" deleteRows="1" sort="1" autoFilter="1" pivotTables="1"/>
  <x:mergeCells>
    <x:mergeCell ref="A1:H1"/>
    <x:mergeCell ref="A3:H3"/>
    <x:mergeCell ref="A5:E5"/>
    <x:mergeCell ref="A15:H15"/>
    <x:mergeCell ref="A22:C22"/>
    <x:mergeCell ref="D22:H22"/>
    <x:mergeCell ref="D29:H31"/>
    <x:mergeCell ref="A33:E33"/>
    <x:mergeCell ref="A38:E41"/>
    <x:mergeCell ref="A43:E46"/>
  </x:mergeCells>
  <x:conditionalFormatting sqref="B9:B9">
    <x:cfRule type="cellIs" dxfId="3" priority="1" operator="greaterThan">
      <x:formula>0</x:formula>
    </x:cfRule>
    <x:cfRule type="cellIs" dxfId="4" priority="2" operator="lessThan">
      <x:formula>0</x:formula>
    </x:cfRule>
    <x:cfRule type="cellIs" dxfId="5" priority="3" operator="equal">
      <x:formula>0</x:formula>
    </x:cfRule>
  </x:conditionalFormatting>
  <x:conditionalFormatting sqref="B13:B13">
    <x:cfRule type="cellIs" dxfId="6" priority="4" operator="greaterThan">
      <x:formula>0</x:formula>
    </x:cfRule>
    <x:cfRule type="cellIs" dxfId="7" priority="5" operator="lessThan">
      <x:formula>0</x:formula>
    </x:cfRule>
    <x:cfRule type="cellIs" dxfId="8" priority="6" operator="equal">
      <x:formula>0</x:formula>
    </x:cfRule>
  </x:conditionalFormatting>
  <x:conditionalFormatting sqref="D35:D36">
    <x:cfRule type="cellIs" dxfId="9" priority="7" operator="greaterThan">
      <x:formula>0</x:formula>
    </x:cfRule>
    <x:cfRule type="cellIs" dxfId="10" priority="8" operator="lessThan">
      <x:formula>0</x:formula>
    </x:cfRule>
    <x:cfRule type="cellIs" dxfId="11" priority="9" operator="equal">
      <x:formula>0</x:formula>
    </x:cfRule>
  </x:conditionalFormatting>
  <x:pageMargins left="0.7" right="0.7" top="0.75" bottom="0.75" header="0.3" footer="0.3"/>
  <x:drawing xmlns:r="http://schemas.openxmlformats.org/officeDocument/2006/relationships" r:id="Rdbdef059c327417e"/>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7"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10" max="10" width="1" hidden="0" customWidth="1"/>
    <x:col min="11" max="11" width="1" hidden="0" customWidth="1"/>
    <x:col min="12" max="12" width="1" hidden="0" customWidth="1"/>
    <x:col min="13" max="13" width="1" hidden="0" customWidth="1"/>
    <x:col min="14" max="14" width="1" hidden="0" customWidth="1"/>
    <x:col min="15" max="15" width="1" hidden="0" customWidth="1"/>
  </x:cols>
  <x:sheetData>
    <x:row r="1" ht="32" customHeight="1">
      <x:c r="A1" s="3" t="str">
        <x:v>DREI JAHRE LERNKURVE UND WIRTSCHAFTLICHER NUTZEN</x:v>
      </x:c>
      <x:c r="B1" s="3" t="str">
        <x:v>DREI JAHRE LERNKURVE UND WIRTSCHAFTLICHER NUTZEN</x:v>
      </x:c>
      <x:c r="C1" s="3" t="str">
        <x:v>DREI JAHRE LERNKURVE UND WIRTSCHAFTLICHER NUTZEN</x:v>
      </x:c>
      <x:c r="D1" s="3" t="str">
        <x:v>DREI JAHRE LERNKURVE UND WIRTSCHAFTLICHER NUTZEN</x:v>
      </x:c>
      <x:c r="E1" s="3" t="str">
        <x:v>DREI JAHRE LERNKURVE UND WIRTSCHAFTLICHER NUTZEN</x:v>
      </x:c>
      <x:c r="F1" s="3" t="str">
        <x:v>DREI JAHRE LERNKURVE UND WIRTSCHAFTLICHER NUTZEN</x:v>
      </x:c>
      <x:c r="G1" s="3" t="str">
        <x:v>DREI JAHRE LERNKURVE UND WIRTSCHAFTLICHER NUTZEN</x:v>
      </x:c>
      <x:c r="H1" s="3" t="str">
        <x:v>DREI JAHRE LERNKURVE UND WIRTSCHAFTLICHER NUTZEN</x:v>
      </x:c>
      <x:c r="J1" s="130" t="str">
        <x:v>Monat</x:v>
      </x:c>
      <x:c r="K1" s="130" t="str">
        <x:v>Brutto-Zeitersparnis je Nutzer</x:v>
      </x:c>
      <x:c r="L1" s="130"/>
      <x:c r="M1" s="130" t="str">
        <x:v>Jahr</x:v>
      </x:c>
      <x:c r="N1" s="130" t="str">
        <x:v>Realisierter Nutzen</x:v>
      </x:c>
      <x:c r="O1" s="130" t="str">
        <x:v>Gesamtkosten</x:v>
      </x:c>
    </x:row>
    <x:row r="2">
      <x:c r="J2" s="130" t="n">
        <x:f>'5. Berechnung'!A26</x:f>
        <x:v>1</x:v>
      </x:c>
      <x:c r="K2" s="130" t="n">
        <x:f>'5. Berechnung'!I26</x:f>
        <x:v>4.8</x:v>
      </x:c>
      <x:c r="L2" s="130"/>
      <x:c r="M2" s="130" t="n">
        <x:v>1</x:v>
      </x:c>
      <x:c r="N2" s="130" t="n">
        <x:f>C7</x:f>
        <x:v>639339.2045889356</x:v>
      </x:c>
      <x:c r="O2" s="130" t="n">
        <x:f>D7</x:f>
        <x:v>275072</x:v>
      </x:c>
    </x:row>
    <x:row r="3">
      <x:c r="A3" s="37" t="str">
        <x:v>Ein früher Start baut Anwendungskompetenz auf, zieht den Break-even vor und verlängert den Zeitraum, in dem der wirtschaftliche Nutzen wirksam wird.</x:v>
      </x:c>
      <x:c r="J3" s="130" t="n">
        <x:f>'5. Berechnung'!A27</x:f>
        <x:v>2</x:v>
      </x:c>
      <x:c r="K3" s="130" t="n">
        <x:f>'5. Berechnung'!I27</x:f>
        <x:v>5.737258300203047</x:v>
      </x:c>
      <x:c r="L3" s="130"/>
      <x:c r="M3" s="130" t="n">
        <x:v>2</x:v>
      </x:c>
      <x:c r="N3" s="130" t="n">
        <x:f>C8</x:f>
        <x:v>718739.6750717022</x:v>
      </x:c>
      <x:c r="O3" s="130" t="n">
        <x:f>D8</x:f>
        <x:v>174832</x:v>
      </x:c>
    </x:row>
    <x:row r="4">
      <x:c r="J4" s="130" t="n">
        <x:f>'5. Berechnung'!A28</x:f>
        <x:v>3</x:v>
      </x:c>
      <x:c r="K4" s="130" t="n">
        <x:f>'5. Berechnung'!I28</x:f>
        <x:v>6.4</x:v>
      </x:c>
      <x:c r="L4" s="130"/>
      <x:c r="M4" s="130" t="n">
        <x:v>3</x:v>
      </x:c>
      <x:c r="N4" s="130" t="n">
        <x:f>C9</x:f>
        <x:v>719980.3074229953</x:v>
      </x:c>
      <x:c r="O4" s="130" t="n">
        <x:f>D9</x:f>
        <x:v>174832</x:v>
      </x:c>
    </x:row>
    <x:row r="5" ht="22" customHeight="1">
      <x:c r="A5" s="12" t="str">
        <x:v>REALISTISCHES SZENARIO – ERGEBNISSE NACH JAHR</x:v>
      </x:c>
      <x:c r="B5" s="13" t="str">
        <x:v>REALISTISCHES SZENARIO – ERGEBNISSE NACH JAHR</x:v>
      </x:c>
      <x:c r="C5" s="13" t="str">
        <x:v>REALISTISCHES SZENARIO – ERGEBNISSE NACH JAHR</x:v>
      </x:c>
      <x:c r="D5" s="13" t="str">
        <x:v>REALISTISCHES SZENARIO – ERGEBNISSE NACH JAHR</x:v>
      </x:c>
      <x:c r="E5" s="13" t="str">
        <x:v>REALISTISCHES SZENARIO – ERGEBNISSE NACH JAHR</x:v>
      </x:c>
      <x:c r="F5" s="14" t="str">
        <x:v>REALISTISCHES SZENARIO – ERGEBNISSE NACH JAHR</x:v>
      </x:c>
      <x:c r="J5" s="130" t="n">
        <x:f>'5. Berechnung'!A29</x:f>
        <x:v>4</x:v>
      </x:c>
      <x:c r="K5" s="130" t="n">
        <x:f>'5. Berechnung'!I29</x:f>
        <x:v>6.8686291501015235</x:v>
      </x:c>
      <x:c r="L5" s="130"/>
      <x:c r="M5" s="130"/>
      <x:c r="N5" s="130"/>
      <x:c r="O5" s="130"/>
    </x:row>
    <x:row r="6">
      <x:c r="A6" s="18" t="str">
        <x:v>Jahr</x:v>
      </x:c>
      <x:c r="B6" s="18" t="str">
        <x:v>Ø Brutto-Zeitersparnis</x:v>
      </x:c>
      <x:c r="C6" s="18" t="str">
        <x:v>Realisierter Nutzen</x:v>
      </x:c>
      <x:c r="D6" s="18" t="str">
        <x:v>Gesamtkosten</x:v>
      </x:c>
      <x:c r="E6" s="18" t="str">
        <x:v>Netto-Nutzen</x:v>
      </x:c>
      <x:c r="F6" s="18" t="str">
        <x:v>Kumulierter Netto-Nutzen</x:v>
      </x:c>
      <x:c r="J6" s="130" t="n">
        <x:f>'5. Berechnung'!A30</x:f>
        <x:v>5</x:v>
      </x:c>
      <x:c r="K6" s="130" t="n">
        <x:f>'5. Berechnung'!I30</x:f>
        <x:v>7.2</x:v>
      </x:c>
      <x:c r="L6" s="130"/>
      <x:c r="M6" s="130"/>
      <x:c r="N6" s="130"/>
      <x:c r="O6" s="130"/>
    </x:row>
    <x:row r="7">
      <x:c r="A7" s="38" t="n">
        <x:v>1</x:v>
      </x:c>
      <x:c r="B7" s="117" t="n">
        <x:f>'5. Berechnung'!B5</x:f>
        <x:v>7.103768939877063</x:v>
      </x:c>
      <x:c r="C7" s="60" t="n">
        <x:f>'5. Berechnung'!B19</x:f>
        <x:v>639339.2045889356</x:v>
      </x:c>
      <x:c r="D7" s="60" t="n">
        <x:f>'5. Berechnung'!G19</x:f>
        <x:v>275072</x:v>
      </x:c>
      <x:c r="E7" s="60" t="n">
        <x:f>'5. Berechnung'!H19</x:f>
        <x:v>364267.2045889356</x:v>
      </x:c>
      <x:c r="F7" s="60" t="n">
        <x:f>E7</x:f>
        <x:v>364267.2045889356</x:v>
      </x:c>
      <x:c r="J7" s="130" t="n">
        <x:f>'5. Berechnung'!A31</x:f>
        <x:v>6</x:v>
      </x:c>
      <x:c r="K7" s="130" t="n">
        <x:f>'5. Berechnung'!I31</x:f>
        <x:v>7.434314575050762</x:v>
      </x:c>
      <x:c r="L7" s="130"/>
      <x:c r="M7" s="130"/>
      <x:c r="N7" s="130"/>
      <x:c r="O7" s="130"/>
    </x:row>
    <x:row r="8">
      <x:c r="A8" s="20" t="n">
        <x:v>2</x:v>
      </x:c>
      <x:c r="B8" s="116" t="n">
        <x:f>'5. Berechnung'!B6</x:f>
        <x:v>7.985996389685579</x:v>
      </x:c>
      <x:c r="C8" s="55" t="n">
        <x:f>'5. Berechnung'!B20</x:f>
        <x:v>718739.6750717022</x:v>
      </x:c>
      <x:c r="D8" s="55" t="n">
        <x:f>'5. Berechnung'!G20</x:f>
        <x:v>174832</x:v>
      </x:c>
      <x:c r="E8" s="55" t="n">
        <x:f>'5. Berechnung'!H20</x:f>
        <x:v>543907.6750717022</x:v>
      </x:c>
      <x:c r="F8" s="55" t="n">
        <x:f>F7+E8</x:f>
        <x:v>908174.8796606378</x:v>
      </x:c>
      <x:c r="J8" s="130" t="n">
        <x:f>'5. Berechnung'!A32</x:f>
        <x:v>7</x:v>
      </x:c>
      <x:c r="K8" s="130" t="n">
        <x:f>'5. Berechnung'!I32</x:f>
        <x:v>7.6</x:v>
      </x:c>
      <x:c r="L8" s="130"/>
      <x:c r="M8" s="130"/>
      <x:c r="N8" s="130"/>
      <x:c r="O8" s="130"/>
    </x:row>
    <x:row r="9">
      <x:c r="A9" s="20" t="n">
        <x:v>3</x:v>
      </x:c>
      <x:c r="B9" s="116" t="n">
        <x:f>'5. Berechnung'!B7</x:f>
        <x:v>7.999781193588838</x:v>
      </x:c>
      <x:c r="C9" s="55" t="n">
        <x:f>'5. Berechnung'!B21</x:f>
        <x:v>719980.3074229953</x:v>
      </x:c>
      <x:c r="D9" s="55" t="n">
        <x:f>'5. Berechnung'!G21</x:f>
        <x:v>174832</x:v>
      </x:c>
      <x:c r="E9" s="55" t="n">
        <x:f>'5. Berechnung'!H21</x:f>
        <x:v>545148.3074229953</x:v>
      </x:c>
      <x:c r="F9" s="55" t="n">
        <x:f>F8+E9</x:f>
        <x:v>1453323.1870836332</x:v>
      </x:c>
      <x:c r="J9" s="130" t="n">
        <x:f>'5. Berechnung'!A33</x:f>
        <x:v>8</x:v>
      </x:c>
      <x:c r="K9" s="130" t="n">
        <x:f>'5. Berechnung'!I33</x:f>
        <x:v>7.717157287525381</x:v>
      </x:c>
      <x:c r="L9" s="130"/>
      <x:c r="M9" s="130"/>
      <x:c r="N9" s="130"/>
      <x:c r="O9" s="130"/>
    </x:row>
    <x:row r="10">
      <x:c r="J10" s="130" t="n">
        <x:f>'5. Berechnung'!A34</x:f>
        <x:v>9</x:v>
      </x:c>
      <x:c r="K10" s="130" t="n">
        <x:f>'5. Berechnung'!I34</x:f>
        <x:v>7.8</x:v>
      </x:c>
      <x:c r="L10" s="130"/>
      <x:c r="M10" s="130"/>
      <x:c r="N10" s="130"/>
      <x:c r="O10" s="130"/>
    </x:row>
    <x:row r="11" ht="22" customHeight="1">
      <x:c r="A11" s="12" t="str">
        <x:v>LERNKURVE ÜBER 36 MONATE</x:v>
      </x:c>
      <x:c r="B11" s="13" t="str">
        <x:v>LERNKURVE ÜBER 36 MONATE</x:v>
      </x:c>
      <x:c r="C11" s="13" t="str">
        <x:v>LERNKURVE ÜBER 36 MONATE</x:v>
      </x:c>
      <x:c r="D11" s="13" t="str">
        <x:v>LERNKURVE ÜBER 36 MONATE</x:v>
      </x:c>
      <x:c r="E11" s="13" t="str">
        <x:v>LERNKURVE ÜBER 36 MONATE</x:v>
      </x:c>
      <x:c r="F11" s="13" t="str">
        <x:v>LERNKURVE ÜBER 36 MONATE</x:v>
      </x:c>
      <x:c r="G11" s="13" t="str">
        <x:v>LERNKURVE ÜBER 36 MONATE</x:v>
      </x:c>
      <x:c r="H11" s="14" t="str">
        <x:v>LERNKURVE ÜBER 36 MONATE</x:v>
      </x:c>
      <x:c r="J11" s="130" t="n">
        <x:f>'5. Berechnung'!A35</x:f>
        <x:v>10</x:v>
      </x:c>
      <x:c r="K11" s="130" t="n">
        <x:f>'5. Berechnung'!I35</x:f>
        <x:v>7.858578643762691</x:v>
      </x:c>
      <x:c r="L11" s="130"/>
      <x:c r="M11" s="130"/>
      <x:c r="N11" s="130"/>
      <x:c r="O11" s="130"/>
    </x:row>
    <x:row r="12">
      <x:c r="J12" s="130" t="n">
        <x:f>'5. Berechnung'!A36</x:f>
        <x:v>11</x:v>
      </x:c>
      <x:c r="K12" s="130" t="n">
        <x:f>'5. Berechnung'!I36</x:f>
        <x:v>7.9</x:v>
      </x:c>
      <x:c r="L12" s="130"/>
      <x:c r="M12" s="130"/>
      <x:c r="N12" s="130"/>
      <x:c r="O12" s="130"/>
    </x:row>
    <x:row r="13">
      <x:c r="J13" s="130" t="n">
        <x:f>'5. Berechnung'!A37</x:f>
        <x:v>12</x:v>
      </x:c>
      <x:c r="K13" s="130" t="n">
        <x:f>'5. Berechnung'!I37</x:f>
        <x:v>7.929289321881345</x:v>
      </x:c>
      <x:c r="L13" s="130"/>
      <x:c r="M13" s="130"/>
      <x:c r="N13" s="130"/>
      <x:c r="O13" s="130"/>
    </x:row>
    <x:row r="14">
      <x:c r="J14" s="130" t="n">
        <x:f>'5. Berechnung'!A38</x:f>
        <x:v>13</x:v>
      </x:c>
      <x:c r="K14" s="130" t="n">
        <x:f>'5. Berechnung'!I38</x:f>
        <x:v>7.95</x:v>
      </x:c>
      <x:c r="L14" s="130"/>
      <x:c r="M14" s="130"/>
      <x:c r="N14" s="130"/>
      <x:c r="O14" s="130"/>
    </x:row>
    <x:row r="15">
      <x:c r="J15" s="130" t="n">
        <x:f>'5. Berechnung'!A39</x:f>
        <x:v>14</x:v>
      </x:c>
      <x:c r="K15" s="130" t="n">
        <x:f>'5. Berechnung'!I39</x:f>
        <x:v>7.964644660940673</x:v>
      </x:c>
      <x:c r="L15" s="130"/>
      <x:c r="M15" s="130"/>
      <x:c r="N15" s="130"/>
      <x:c r="O15" s="130"/>
    </x:row>
    <x:row r="16">
      <x:c r="J16" s="130" t="n">
        <x:f>'5. Berechnung'!A40</x:f>
        <x:v>15</x:v>
      </x:c>
      <x:c r="K16" s="130" t="n">
        <x:f>'5. Berechnung'!I40</x:f>
        <x:v>7.975</x:v>
      </x:c>
      <x:c r="L16" s="130"/>
      <x:c r="M16" s="130"/>
      <x:c r="N16" s="130"/>
      <x:c r="O16" s="130"/>
    </x:row>
    <x:row r="17">
      <x:c r="J17" s="130" t="n">
        <x:f>'5. Berechnung'!A41</x:f>
        <x:v>16</x:v>
      </x:c>
      <x:c r="K17" s="130" t="n">
        <x:f>'5. Berechnung'!I41</x:f>
        <x:v>7.982322330470336</x:v>
      </x:c>
      <x:c r="L17" s="130"/>
      <x:c r="M17" s="130"/>
      <x:c r="N17" s="130"/>
      <x:c r="O17" s="130"/>
    </x:row>
    <x:row r="18">
      <x:c r="J18" s="130" t="n">
        <x:f>'5. Berechnung'!A42</x:f>
        <x:v>17</x:v>
      </x:c>
      <x:c r="K18" s="130" t="n">
        <x:f>'5. Berechnung'!I42</x:f>
        <x:v>7.9875</x:v>
      </x:c>
      <x:c r="L18" s="130"/>
      <x:c r="M18" s="130"/>
      <x:c r="N18" s="130"/>
      <x:c r="O18" s="130"/>
    </x:row>
    <x:row r="19">
      <x:c r="J19" s="130" t="n">
        <x:f>'5. Berechnung'!A43</x:f>
        <x:v>18</x:v>
      </x:c>
      <x:c r="K19" s="130" t="n">
        <x:f>'5. Berechnung'!I43</x:f>
        <x:v>7.991161165235168</x:v>
      </x:c>
      <x:c r="L19" s="130"/>
      <x:c r="M19" s="130"/>
      <x:c r="N19" s="130"/>
      <x:c r="O19" s="130"/>
    </x:row>
    <x:row r="20">
      <x:c r="J20" s="130" t="n">
        <x:f>'5. Berechnung'!A44</x:f>
        <x:v>19</x:v>
      </x:c>
      <x:c r="K20" s="130" t="n">
        <x:f>'5. Berechnung'!I44</x:f>
        <x:v>7.99375</x:v>
      </x:c>
      <x:c r="L20" s="130"/>
      <x:c r="M20" s="130"/>
      <x:c r="N20" s="130"/>
      <x:c r="O20" s="130"/>
    </x:row>
    <x:row r="21">
      <x:c r="J21" s="130" t="n">
        <x:f>'5. Berechnung'!A45</x:f>
        <x:v>20</x:v>
      </x:c>
      <x:c r="K21" s="130" t="n">
        <x:f>'5. Berechnung'!I45</x:f>
        <x:v>7.995580582617584</x:v>
      </x:c>
      <x:c r="L21" s="130"/>
      <x:c r="M21" s="130"/>
      <x:c r="N21" s="130"/>
      <x:c r="O21" s="130"/>
    </x:row>
    <x:row r="22">
      <x:c r="J22" s="130" t="n">
        <x:f>'5. Berechnung'!A46</x:f>
        <x:v>21</x:v>
      </x:c>
      <x:c r="K22" s="130" t="n">
        <x:f>'5. Berechnung'!I46</x:f>
        <x:v>7.996875</x:v>
      </x:c>
      <x:c r="L22" s="130"/>
      <x:c r="M22" s="130"/>
      <x:c r="N22" s="130"/>
      <x:c r="O22" s="130"/>
    </x:row>
    <x:row r="23">
      <x:c r="J23" s="130" t="n">
        <x:f>'5. Berechnung'!A47</x:f>
        <x:v>22</x:v>
      </x:c>
      <x:c r="K23" s="130" t="n">
        <x:f>'5. Berechnung'!I47</x:f>
        <x:v>7.997790291308792</x:v>
      </x:c>
      <x:c r="L23" s="130"/>
      <x:c r="M23" s="130"/>
      <x:c r="N23" s="130"/>
      <x:c r="O23" s="130"/>
    </x:row>
    <x:row r="24">
      <x:c r="J24" s="130" t="n">
        <x:f>'5. Berechnung'!A48</x:f>
        <x:v>23</x:v>
      </x:c>
      <x:c r="K24" s="130" t="n">
        <x:f>'5. Berechnung'!I48</x:f>
        <x:v>7.9984375</x:v>
      </x:c>
      <x:c r="L24" s="130"/>
      <x:c r="M24" s="130"/>
      <x:c r="N24" s="130"/>
      <x:c r="O24" s="130"/>
    </x:row>
    <x:row r="25">
      <x:c r="J25" s="130" t="n">
        <x:f>'5. Berechnung'!A49</x:f>
        <x:v>24</x:v>
      </x:c>
      <x:c r="K25" s="130" t="n">
        <x:f>'5. Berechnung'!I49</x:f>
        <x:v>7.998895145654396</x:v>
      </x:c>
      <x:c r="L25" s="130"/>
      <x:c r="M25" s="130"/>
      <x:c r="N25" s="130"/>
      <x:c r="O25" s="130"/>
    </x:row>
    <x:row r="26">
      <x:c r="J26" s="130" t="n">
        <x:f>'5. Berechnung'!A50</x:f>
        <x:v>25</x:v>
      </x:c>
      <x:c r="K26" s="130" t="n">
        <x:f>'5. Berechnung'!I50</x:f>
        <x:v>7.99921875</x:v>
      </x:c>
      <x:c r="L26" s="130"/>
      <x:c r="M26" s="130"/>
      <x:c r="N26" s="130"/>
      <x:c r="O26" s="130"/>
    </x:row>
    <x:row r="27">
      <x:c r="J27" s="130" t="n">
        <x:f>'5. Berechnung'!A51</x:f>
        <x:v>26</x:v>
      </x:c>
      <x:c r="K27" s="130" t="n">
        <x:f>'5. Berechnung'!I51</x:f>
        <x:v>7.999447572827198</x:v>
      </x:c>
      <x:c r="L27" s="130"/>
      <x:c r="M27" s="130"/>
      <x:c r="N27" s="130"/>
      <x:c r="O27" s="130"/>
    </x:row>
    <x:row r="28">
      <x:c r="J28" s="130" t="n">
        <x:f>'5. Berechnung'!A52</x:f>
        <x:v>27</x:v>
      </x:c>
      <x:c r="K28" s="130" t="n">
        <x:f>'5. Berechnung'!I52</x:f>
        <x:v>7.999609375</x:v>
      </x:c>
      <x:c r="L28" s="130"/>
      <x:c r="M28" s="130"/>
      <x:c r="N28" s="130"/>
      <x:c r="O28" s="130"/>
    </x:row>
    <x:row r="29">
      <x:c r="J29" s="130" t="n">
        <x:f>'5. Berechnung'!A53</x:f>
        <x:v>28</x:v>
      </x:c>
      <x:c r="K29" s="130" t="n">
        <x:f>'5. Berechnung'!I53</x:f>
        <x:v>7.999723786413599</x:v>
      </x:c>
      <x:c r="L29" s="130"/>
      <x:c r="M29" s="130"/>
      <x:c r="N29" s="130"/>
      <x:c r="O29" s="130"/>
    </x:row>
    <x:row r="30">
      <x:c r="J30" s="130" t="n">
        <x:f>'5. Berechnung'!A54</x:f>
        <x:v>29</x:v>
      </x:c>
      <x:c r="K30" s="130" t="n">
        <x:f>'5. Berechnung'!I54</x:f>
        <x:v>7.9998046875</x:v>
      </x:c>
      <x:c r="L30" s="130"/>
      <x:c r="M30" s="130"/>
      <x:c r="N30" s="130"/>
      <x:c r="O30" s="130"/>
    </x:row>
    <x:row r="31" ht="22" customHeight="1">
      <x:c r="A31" s="12" t="str">
        <x:v>NUTZEN UND KOSTEN NACH JAHR</x:v>
      </x:c>
      <x:c r="B31" s="13" t="str">
        <x:v>NUTZEN UND KOSTEN NACH JAHR</x:v>
      </x:c>
      <x:c r="C31" s="13" t="str">
        <x:v>NUTZEN UND KOSTEN NACH JAHR</x:v>
      </x:c>
      <x:c r="D31" s="13" t="str">
        <x:v>NUTZEN UND KOSTEN NACH JAHR</x:v>
      </x:c>
      <x:c r="E31" s="13" t="str">
        <x:v>NUTZEN UND KOSTEN NACH JAHR</x:v>
      </x:c>
      <x:c r="F31" s="13" t="str">
        <x:v>NUTZEN UND KOSTEN NACH JAHR</x:v>
      </x:c>
      <x:c r="G31" s="13" t="str">
        <x:v>NUTZEN UND KOSTEN NACH JAHR</x:v>
      </x:c>
      <x:c r="H31" s="14" t="str">
        <x:v>NUTZEN UND KOSTEN NACH JAHR</x:v>
      </x:c>
      <x:c r="J31" s="130" t="n">
        <x:f>'5. Berechnung'!A55</x:f>
        <x:v>30</x:v>
      </x:c>
      <x:c r="K31" s="130" t="n">
        <x:f>'5. Berechnung'!I55</x:f>
        <x:v>7.999861893206799</x:v>
      </x:c>
      <x:c r="L31" s="130"/>
      <x:c r="M31" s="130"/>
      <x:c r="N31" s="130"/>
      <x:c r="O31" s="130"/>
    </x:row>
    <x:row r="32">
      <x:c r="J32" s="130" t="n">
        <x:f>'5. Berechnung'!A56</x:f>
        <x:v>31</x:v>
      </x:c>
      <x:c r="K32" s="130" t="n">
        <x:f>'5. Berechnung'!I56</x:f>
        <x:v>7.99990234375</x:v>
      </x:c>
      <x:c r="L32" s="130"/>
      <x:c r="M32" s="130"/>
      <x:c r="N32" s="130"/>
      <x:c r="O32" s="130"/>
    </x:row>
    <x:row r="33">
      <x:c r="J33" s="130" t="n">
        <x:f>'5. Berechnung'!A57</x:f>
        <x:v>32</x:v>
      </x:c>
      <x:c r="K33" s="130" t="n">
        <x:f>'5. Berechnung'!I57</x:f>
        <x:v>7.9999309466034</x:v>
      </x:c>
      <x:c r="L33" s="130"/>
      <x:c r="M33" s="130"/>
      <x:c r="N33" s="130"/>
      <x:c r="O33" s="130"/>
    </x:row>
    <x:row r="34">
      <x:c r="J34" s="130" t="n">
        <x:f>'5. Berechnung'!A58</x:f>
        <x:v>33</x:v>
      </x:c>
      <x:c r="K34" s="130" t="n">
        <x:f>'5. Berechnung'!I58</x:f>
        <x:v>7.999951171875</x:v>
      </x:c>
      <x:c r="L34" s="130"/>
      <x:c r="M34" s="130"/>
      <x:c r="N34" s="130"/>
      <x:c r="O34" s="130"/>
    </x:row>
    <x:row r="35">
      <x:c r="J35" s="130" t="n">
        <x:f>'5. Berechnung'!A59</x:f>
        <x:v>34</x:v>
      </x:c>
      <x:c r="K35" s="130" t="n">
        <x:f>'5. Berechnung'!I59</x:f>
        <x:v>7.9999654733017</x:v>
      </x:c>
      <x:c r="L35" s="130"/>
      <x:c r="M35" s="130"/>
      <x:c r="N35" s="130"/>
      <x:c r="O35" s="130"/>
    </x:row>
    <x:row r="36">
      <x:c r="J36" s="130" t="n">
        <x:f>'5. Berechnung'!A60</x:f>
        <x:v>35</x:v>
      </x:c>
      <x:c r="K36" s="130" t="n">
        <x:f>'5. Berechnung'!I60</x:f>
        <x:v>7.9999755859375</x:v>
      </x:c>
      <x:c r="L36" s="130"/>
      <x:c r="M36" s="130"/>
      <x:c r="N36" s="130"/>
      <x:c r="O36" s="130"/>
    </x:row>
    <x:row r="37">
      <x:c r="J37" s="130" t="n">
        <x:f>'5. Berechnung'!A61</x:f>
        <x:v>36</x:v>
      </x:c>
      <x:c r="K37" s="130" t="n">
        <x:f>'5. Berechnung'!I61</x:f>
        <x:v>7.99998273665085</x:v>
      </x:c>
      <x:c r="L37" s="130"/>
      <x:c r="M37" s="130"/>
      <x:c r="N37" s="130"/>
      <x:c r="O37" s="130"/>
    </x:row>
    <x:row r="50">
      <x:c r="A50" s="121" t="str">
        <x:f>"Im realistischen Szenario entstehen bereits im ersten Jahr "&amp;TEXT(C7,"#,##0 €")&amp;" realisierter Nutzen. In Jahr 2 steigt der Jahresnutzen auf "&amp;TEXT(C8,"#,##0 €")&amp;", weil die Lernkurve weitgehend aufgebaut ist. Ein späterer Beginn verschiebt diese Entwicklung und den Break-even entsprechend nach hinten."</x:f>
        <x:v>Im realistischen Szenario entstehen bereits im ersten Jahr 639,339 € realisierter Nutzen. In Jahr 2 steigt der Jahresnutzen auf 718,740 €, weil die Lernkurve weitgehend aufgebaut ist. Ein späterer Beginn verschiebt diese Entwicklung und den Break-even entsprechend nach hinten.</x:v>
      </x:c>
      <x:c r="B50" s="122"/>
      <x:c r="C50" s="122"/>
      <x:c r="D50" s="122"/>
      <x:c r="E50" s="122"/>
      <x:c r="F50" s="122"/>
      <x:c r="G50" s="122"/>
      <x:c r="H50" s="123"/>
    </x:row>
    <x:row r="51">
      <x:c r="A51" s="124"/>
      <x:c r="B51" s="120"/>
      <x:c r="C51" s="120"/>
      <x:c r="D51" s="120"/>
      <x:c r="E51" s="120"/>
      <x:c r="F51" s="120"/>
      <x:c r="G51" s="120"/>
      <x:c r="H51" s="125"/>
    </x:row>
    <x:row r="52">
      <x:c r="A52" s="124"/>
      <x:c r="B52" s="120"/>
      <x:c r="C52" s="120"/>
      <x:c r="D52" s="120"/>
      <x:c r="E52" s="120"/>
      <x:c r="F52" s="120"/>
      <x:c r="G52" s="120"/>
      <x:c r="H52" s="125"/>
    </x:row>
    <x:row r="53">
      <x:c r="A53" s="126"/>
      <x:c r="B53" s="127"/>
      <x:c r="C53" s="127"/>
      <x:c r="D53" s="127"/>
      <x:c r="E53" s="127"/>
      <x:c r="F53" s="127"/>
      <x:c r="G53" s="127"/>
      <x:c r="H53" s="128"/>
    </x:row>
  </x:sheetData>
  <x:sheetProtection sheet="1" objects="1" scenarios="1" formatCells="1" formatColumns="1" formatRows="1" insertColumns="1" insertRows="1" insertHyperlinks="1" deleteColumns="1" deleteRows="1" sort="1" autoFilter="1" pivotTables="1"/>
  <x:mergeCells>
    <x:mergeCell ref="A1:H1"/>
    <x:mergeCell ref="A3:H3"/>
    <x:mergeCell ref="A5:F5"/>
    <x:mergeCell ref="A11:H11"/>
    <x:mergeCell ref="A31:H31"/>
    <x:mergeCell ref="A50:H53"/>
  </x:mergeCells>
  <x:pageMargins left="0.7" right="0.7" top="0.75" bottom="0.75" header="0.3" footer="0.3"/>
  <x:drawing xmlns:r="http://schemas.openxmlformats.org/officeDocument/2006/relationships" r:id="R84216830ec3d4763"/>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4" hidden="0" customWidth="1"/>
    <x:col min="4" max="4" width="31" hidden="0" customWidth="1"/>
    <x:col min="5" max="5" width="20" hidden="0" customWidth="1"/>
    <x:col min="6" max="6" width="50" hidden="0" customWidth="1"/>
  </x:cols>
  <x:sheetData>
    <x:row r="1" ht="32" customHeight="1">
      <x:c r="A1" s="3" t="str">
        <x:v>PLANUNGSSZENARIEN</x:v>
      </x:c>
      <x:c r="B1" s="3" t="str">
        <x:v>PLANUNGSSZENARIEN</x:v>
      </x:c>
      <x:c r="C1" s="3" t="str">
        <x:v>PLANUNGSSZENARIEN</x:v>
      </x:c>
      <x:c r="D1" s="3" t="str">
        <x:v>PLANUNGSSZENARIEN</x:v>
      </x:c>
      <x:c r="E1" s="3" t="str">
        <x:v>PLANUNGSSZENARIEN</x:v>
      </x:c>
      <x:c r="F1" s="3" t="str">
        <x:v>PLANUNGSSZENARIEN</x:v>
      </x:c>
    </x:row>
    <x:row r="3">
      <x:c r="A3" s="37" t="str">
        <x:v>Alle geschulten Personen werden berücksichtigt. Die Szenarien unterscheiden sich durch die durchschnittlich erreichte Brutto-Zeitersparnis je Person.</x:v>
      </x:c>
    </x:row>
    <x:row r="5">
      <x:c r="A5" s="18" t="str">
        <x:v>Szenario</x:v>
      </x:c>
      <x:c r="B5" s="18" t="str">
        <x:v>Ziel-Zeitersparnis</x:v>
      </x:c>
      <x:c r="C5" s="18" t="str">
        <x:v>Anteil am 9h-Benchmark</x:v>
      </x:c>
      <x:c r="D5" s="18" t="str">
        <x:v>Wirtschaftlich realisierbar</x:v>
      </x:c>
      <x:c r="E5" s="18" t="str">
        <x:v>Geschulte Nutzer</x:v>
      </x:c>
      <x:c r="F5" s="18" t="str">
        <x:v>Einordnung</x:v>
      </x:c>
    </x:row>
    <x:row r="6">
      <x:c r="A6" s="38" t="str">
        <x:v>Realistisch</x:v>
      </x:c>
      <x:c r="B6" s="40" t="n">
        <x:v>8</x:v>
      </x:c>
      <x:c r="C6" s="43" t="n">
        <x:f>B6/9</x:f>
        <x:v>0.8888888888888888</x:v>
      </x:c>
      <x:c r="D6" s="44" t="n">
        <x:v>0.5</x:v>
      </x:c>
      <x:c r="E6" s="47" t="n">
        <x:f>'1. Eingaben'!B8</x:f>
        <x:v>300</x:v>
      </x:c>
      <x:c r="F6" s="38" t="str">
        <x:v>Forrester: typische allgemeine Nutzer sparen etwa 8 Std./Monat</x:v>
      </x:c>
    </x:row>
    <x:row r="7">
      <x:c r="A7" s="20" t="str">
        <x:v>Studiennah</x:v>
      </x:c>
      <x:c r="B7" s="40" t="n">
        <x:v>9</x:v>
      </x:c>
      <x:c r="C7" s="43" t="n">
        <x:f>B7/9</x:f>
        <x:v>1</x:v>
      </x:c>
      <x:c r="D7" s="44" t="n">
        <x:v>0.5</x:v>
      </x:c>
      <x:c r="E7" s="45" t="n">
        <x:f>'1. Eingaben'!B8</x:f>
        <x:v>300</x:v>
      </x:c>
      <x:c r="F7" s="20" t="str">
        <x:v>Forrester-Modellwert: durchschnittlich 9 Std./Monat</x:v>
      </x:c>
    </x:row>
    <x:row r="11" ht="22" customHeight="1">
      <x:c r="A11" s="12" t="str">
        <x:v>GEMEINSAME TRAININGSKURVE</x:v>
      </x:c>
      <x:c r="B11" s="13" t="str">
        <x:v>GEMEINSAME TRAININGSKURVE</x:v>
      </x:c>
      <x:c r="C11" s="13" t="str">
        <x:v>GEMEINSAME TRAININGSKURVE</x:v>
      </x:c>
      <x:c r="D11" s="13" t="str">
        <x:v>GEMEINSAME TRAININGSKURVE</x:v>
      </x:c>
      <x:c r="E11" s="13" t="str">
        <x:v>GEMEINSAME TRAININGSKURVE</x:v>
      </x:c>
      <x:c r="F11" s="14" t="str">
        <x:v>GEMEINSAME TRAININGSKURVE</x:v>
      </x:c>
    </x:row>
    <x:row r="12">
      <x:c r="A12" s="18" t="str">
        <x:v>Annahme</x:v>
      </x:c>
      <x:c r="B12" s="18" t="str">
        <x:v>Wert</x:v>
      </x:c>
      <x:c r="C12" s="18" t="str">
        <x:v>Einheit</x:v>
      </x:c>
      <x:c r="D12" s="18" t="str">
        <x:v>Bedeutung</x:v>
      </x:c>
      <x:c r="E12" s="18"/>
      <x:c r="F12" s="18"/>
    </x:row>
    <x:row r="13">
      <x:c r="A13" s="20" t="str">
        <x:v>Startniveau direkt nach Kick-off</x:v>
      </x:c>
      <x:c r="B13" s="44" t="n">
        <x:v>0.6</x:v>
      </x:c>
      <x:c r="C13" s="20" t="str">
        <x:v>% der Ziel-Zeitersparnis</x:v>
      </x:c>
      <x:c r="D13" s="49" t="str">
        <x:v>Sofortiger Kompetenz- und Motivationsimpuls</x:v>
      </x:c>
      <x:c r="E13" s="49"/>
      <x:c r="F13" s="49"/>
    </x:row>
    <x:row r="14">
      <x:c r="A14" s="20" t="str">
        <x:v>Halbwertszeit der verbleibenden Lücke</x:v>
      </x:c>
      <x:c r="B14" s="48" t="n">
        <x:v>2</x:v>
      </x:c>
      <x:c r="C14" s="20" t="str">
        <x:v>Monate</x:v>
      </x:c>
      <x:c r="D14" s="49" t="str">
        <x:v>Alle 2 Monate halbiert sich die noch offene Lücke zur Ziel-Zeitersparnis</x:v>
      </x:c>
      <x:c r="E14" s="49"/>
      <x:c r="F14" s="49"/>
    </x:row>
    <x:row r="15">
      <x:c r="A15" s="20" t="str">
        <x:v>Kurvenform</x:v>
      </x:c>
      <x:c r="B15" s="20" t="str">
        <x:v>Sättigungskurve</x:v>
      </x:c>
      <x:c r="C15" s="20" t="str"/>
      <x:c r="D15" s="49" t="str">
        <x:v>Schneller Start, danach abnehmende Zuwächse</x:v>
      </x:c>
      <x:c r="E15" s="49"/>
      <x:c r="F15" s="49"/>
    </x:row>
    <x:row r="16">
      <x:c r="A16" s="20" t="str">
        <x:v>Evidenz</x:v>
      </x:c>
      <x:c r="B16" s="20" t="str">
        <x:v>Ca. 12 Wochen bis Vertrautheit/Kompetenz</x:v>
      </x:c>
      <x:c r="C16" s="20" t="str"/>
      <x:c r="D16" s="49" t="str">
        <x:v>Forrester-Interviews; genaue Kurve ist eine Modellannahme</x:v>
      </x:c>
      <x:c r="E16" s="49"/>
      <x:c r="F16" s="49"/>
    </x:row>
    <x:row r="17">
      <x:c r="A17" s="52" t="str">
        <x:v>Wichtig</x:v>
      </x:c>
      <x:c r="B17" s="52" t="str">
        <x:v>Alle geschulten Personen zählen</x:v>
      </x:c>
      <x:c r="C17" s="52" t="str"/>
      <x:c r="D17" s="53" t="str">
        <x:v>Die Zeitersparnis gilt je Person – sie ist keine Quote aktiver Personen.</x:v>
      </x:c>
      <x:c r="E17" s="53"/>
      <x:c r="F17" s="53"/>
    </x:row>
    <x:row r="20" ht="22" customHeight="1">
      <x:c r="A20" s="12" t="str">
        <x:v>ENTWICKLUNG DER BRUTTO-ZEITERSPARNIS JE PERSON</x:v>
      </x:c>
      <x:c r="B20" s="13" t="str">
        <x:v>ENTWICKLUNG DER BRUTTO-ZEITERSPARNIS JE PERSON</x:v>
      </x:c>
      <x:c r="C20" s="14" t="str">
        <x:v>ENTWICKLUNG DER BRUTTO-ZEITERSPARNIS JE PERSON</x:v>
      </x:c>
    </x:row>
    <x:row r="21">
      <x:c r="A21" s="18" t="str">
        <x:v>Monat</x:v>
      </x:c>
      <x:c r="B21" s="18" t="str">
        <x:v>Realistisch</x:v>
      </x:c>
      <x:c r="C21" s="18" t="str">
        <x:v>Studiennah</x:v>
      </x:c>
    </x:row>
    <x:row r="22">
      <x:c r="A22" s="20" t="n">
        <x:v>1</x:v>
      </x:c>
      <x:c r="B22" s="54" t="n">
        <x:f>'5. Berechnung'!I26</x:f>
        <x:v>4.8</x:v>
      </x:c>
      <x:c r="C22" s="54" t="n">
        <x:f>'5. Berechnung'!J26</x:f>
        <x:v>5.3999999999999995</x:v>
      </x:c>
    </x:row>
    <x:row r="23">
      <x:c r="A23" s="20" t="n">
        <x:v>3</x:v>
      </x:c>
      <x:c r="B23" s="54" t="n">
        <x:f>'5. Berechnung'!I28</x:f>
        <x:v>6.4</x:v>
      </x:c>
      <x:c r="C23" s="54" t="n">
        <x:f>'5. Berechnung'!J28</x:f>
        <x:v>7.2</x:v>
      </x:c>
    </x:row>
    <x:row r="24">
      <x:c r="A24" s="20" t="n">
        <x:v>6</x:v>
      </x:c>
      <x:c r="B24" s="54" t="n">
        <x:f>'5. Berechnung'!I31</x:f>
        <x:v>7.434314575050762</x:v>
      </x:c>
      <x:c r="C24" s="54" t="n">
        <x:f>'5. Berechnung'!J31</x:f>
        <x:v>8.363603896932107</x:v>
      </x:c>
    </x:row>
    <x:row r="25">
      <x:c r="A25" s="20" t="n">
        <x:v>12</x:v>
      </x:c>
      <x:c r="B25" s="54" t="n">
        <x:f>'5. Berechnung'!I37</x:f>
        <x:v>7.929289321881345</x:v>
      </x:c>
      <x:c r="C25" s="54" t="n">
        <x:f>'5. Berechnung'!J37</x:f>
        <x:v>8.920450487116513</x:v>
      </x:c>
    </x:row>
    <x:row r="26">
      <x:c r="A26" s="20" t="n">
        <x:v>24</x:v>
      </x:c>
      <x:c r="B26" s="54" t="n">
        <x:f>'5. Berechnung'!I49</x:f>
        <x:v>7.998895145654396</x:v>
      </x:c>
      <x:c r="C26" s="54" t="n">
        <x:f>'5. Berechnung'!J49</x:f>
        <x:v>8.998757038861196</x:v>
      </x:c>
    </x:row>
    <x:row r="27">
      <x:c r="A27" s="20" t="n">
        <x:v>36</x:v>
      </x:c>
      <x:c r="B27" s="54" t="n">
        <x:f>'5. Berechnung'!I61</x:f>
        <x:v>7.99998273665085</x:v>
      </x:c>
      <x:c r="C27" s="54" t="n">
        <x:f>'5. Berechnung'!J61</x:f>
        <x:v>8.999980578732206</x:v>
      </x:c>
    </x:row>
  </x:sheetData>
  <x:sheetProtection sheet="1" objects="1" scenarios="1" formatCells="1" formatColumns="1" formatRows="1" insertColumns="1" insertRows="1" insertHyperlinks="1" deleteColumns="1" deleteRows="1" sort="1" autoFilter="1" pivotTables="1"/>
  <x:mergeCells>
    <x:mergeCell ref="A1:F1"/>
    <x:mergeCell ref="A3:F3"/>
    <x:mergeCell ref="A11:F11"/>
    <x:mergeCell ref="D13:F13"/>
    <x:mergeCell ref="D14:F14"/>
    <x:mergeCell ref="D15:F15"/>
    <x:mergeCell ref="D16:F16"/>
    <x:mergeCell ref="D17:F17"/>
    <x:mergeCell ref="A20:C20"/>
  </x:mergeCells>
  <x:dataValidations count="4">
    <x:dataValidation type="decimal" operator="between" sqref="B6:B7">
      <x:formula1>0</x:formula1>
      <x:formula2>20</x:formula2>
    </x:dataValidation>
    <x:dataValidation type="decimal" operator="between" sqref="D6:D7">
      <x:formula1>0</x:formula1>
      <x:formula2>1</x:formula2>
    </x:dataValidation>
    <x:dataValidation type="decimal" operator="between" sqref="B13">
      <x:formula1>0</x:formula1>
      <x:formula2>1</x:formula2>
    </x:dataValidation>
    <x:dataValidation type="decimal" operator="between" sqref="B14">
      <x:formula1>0.25</x:formula1>
      <x:formula2>12</x:formula2>
    </x:dataValidation>
  </x:dataValidations>
  <x:pageMargins left="0.7" right="0.7" top="0.75" bottom="0.75" header="0.3" footer="0.3"/>
  <x:drawing xmlns:r="http://schemas.openxmlformats.org/officeDocument/2006/relationships" r:id="R048d6b7516f74969"/>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3" hidden="0" customWidth="1"/>
    <x:col min="16" max="16" width="3" hidden="0" customWidth="1"/>
  </x:cols>
  <x:sheetData>
    <x:row r="1" ht="32" customHeight="1">
      <x:c r="A1" s="3" t="str">
        <x:v>BERECHNUNG – 36 MONATE, TRANSPARENT UND FORMELBASIERT</x:v>
      </x:c>
      <x:c r="B1" s="3" t="str">
        <x:v>BERECHNUNG – 36 MONATE, TRANSPARENT UND FORMELBASIERT</x:v>
      </x:c>
      <x:c r="C1" s="3" t="str">
        <x:v>BERECHNUNG – 36 MONATE, TRANSPARENT UND FORMELBASIERT</x:v>
      </x:c>
      <x:c r="D1" s="3" t="str">
        <x:v>BERECHNUNG – 36 MONATE, TRANSPARENT UND FORMELBASIERT</x:v>
      </x:c>
      <x:c r="E1" s="3" t="str">
        <x:v>BERECHNUNG – 36 MONATE, TRANSPARENT UND FORMELBASIERT</x:v>
      </x:c>
      <x:c r="F1" s="3" t="str">
        <x:v>BERECHNUNG – 36 MONATE, TRANSPARENT UND FORMELBASIERT</x:v>
      </x:c>
      <x:c r="G1" s="3" t="str">
        <x:v>BERECHNUNG – 36 MONATE, TRANSPARENT UND FORMELBASIERT</x:v>
      </x:c>
      <x:c r="H1" s="3" t="str">
        <x:v>BERECHNUNG – 36 MONATE, TRANSPARENT UND FORMELBASIERT</x:v>
      </x:c>
      <x:c r="I1" s="3" t="str">
        <x:v>BERECHNUNG – 36 MONATE, TRANSPARENT UND FORMELBASIERT</x:v>
      </x:c>
      <x:c r="J1" s="3" t="str">
        <x:v>BERECHNUNG – 36 MONATE, TRANSPARENT UND FORMELBASIERT</x:v>
      </x:c>
      <x:c r="K1" s="3" t="str">
        <x:v>BERECHNUNG – 36 MONATE, TRANSPARENT UND FORMELBASIERT</x:v>
      </x:c>
      <x:c r="L1" s="3" t="str">
        <x:v>BERECHNUNG – 36 MONATE, TRANSPARENT UND FORMELBASIERT</x:v>
      </x:c>
      <x:c r="M1" s="3" t="str">
        <x:v>BERECHNUNG – 36 MONATE, TRANSPARENT UND FORMELBASIERT</x:v>
      </x:c>
      <x:c r="N1" s="3" t="str">
        <x:v>BERECHNUNG – 36 MONATE, TRANSPARENT UND FORMELBASIERT</x:v>
      </x:c>
      <x:c r="O1" s="3" t="str">
        <x:v>BERECHNUNG – 36 MONATE, TRANSPARENT UND FORMELBASIERT</x:v>
      </x:c>
      <x:c r="P1" s="3" t="str">
        <x:v>BERECHNUNG – 36 MONATE, TRANSPARENT UND FORMELBASIERT</x:v>
      </x:c>
    </x:row>
    <x:row r="3">
      <x:c r="A3" s="18" t="str">
        <x:v>Kennzahl</x:v>
      </x:c>
      <x:c r="B3" s="18" t="str">
        <x:v>Realistisch</x:v>
      </x:c>
      <x:c r="C3" s="18" t="str">
        <x:v>Studiennah</x:v>
      </x:c>
    </x:row>
    <x:row r="4">
      <x:c r="A4" s="20" t="str">
        <x:v>Ziel-Zeitersparnis je Person / Monat</x:v>
      </x:c>
      <x:c r="B4" s="63" t="n">
        <x:f>'4. Szenarien'!B6</x:f>
        <x:v>8</x:v>
      </x:c>
      <x:c r="C4" s="54" t="n">
        <x:f>'4. Szenarien'!B7</x:f>
        <x:v>9</x:v>
      </x:c>
    </x:row>
    <x:row r="5">
      <x:c r="A5" s="20" t="str">
        <x:v>Ø Brutto-Zeitersparnis Jahr 1 / Monat</x:v>
      </x:c>
      <x:c r="B5" s="63" t="n">
        <x:f>AVERAGE(I26:I37)</x:f>
        <x:v>7.103768939877063</x:v>
      </x:c>
      <x:c r="C5" s="54" t="n">
        <x:f>AVERAGE(J26:J37)</x:f>
        <x:v>7.991740057361695</x:v>
      </x:c>
    </x:row>
    <x:row r="6">
      <x:c r="A6" s="20" t="str">
        <x:v>Ø Brutto-Zeitersparnis Jahr 2 / Monat</x:v>
      </x:c>
      <x:c r="B6" s="63" t="n">
        <x:f>AVERAGE(I38:I49)</x:f>
        <x:v>7.985996389685579</x:v>
      </x:c>
      <x:c r="C6" s="54" t="n">
        <x:f>AVERAGE(J38:J49)</x:f>
        <x:v>8.984245938396276</x:v>
      </x:c>
    </x:row>
    <x:row r="7">
      <x:c r="A7" s="20" t="str">
        <x:v>Ø Brutto-Zeitersparnis Jahr 3 / Monat</x:v>
      </x:c>
      <x:c r="B7" s="63" t="n">
        <x:f>AVERAGE(I50:I61)</x:f>
        <x:v>7.999781193588838</x:v>
      </x:c>
      <x:c r="C7" s="54" t="n">
        <x:f>AVERAGE(J50:J61)</x:f>
        <x:v>8.999753842787444</x:v>
      </x:c>
    </x:row>
    <x:row r="8">
      <x:c r="A8" s="20" t="str">
        <x:v>Realisierter Nutzen 3 Jahre</x:v>
      </x:c>
      <x:c r="B8" s="64" t="n">
        <x:f>SUM(K26:K61)</x:f>
        <x:v>2078059.1870836332</x:v>
      </x:c>
      <x:c r="C8" s="55" t="n">
        <x:f>SUM(L26:L61)</x:f>
        <x:v>2337816.585469087</x:v>
      </x:c>
    </x:row>
    <x:row r="9">
      <x:c r="A9" s="20" t="str">
        <x:v>Gesamtkosten 3 Jahre</x:v>
      </x:c>
      <x:c r="B9" s="64" t="n">
        <x:f>SUM(H26:H61)</x:f>
        <x:v>624736</x:v>
      </x:c>
      <x:c r="C9" s="55" t="n">
        <x:f>SUM(H26:H61)</x:f>
        <x:v>624736</x:v>
      </x:c>
    </x:row>
    <x:row r="10">
      <x:c r="A10" s="20" t="str">
        <x:v>Netto-Nutzen 3 Jahre</x:v>
      </x:c>
      <x:c r="B10" s="64" t="n">
        <x:f>B8-B9</x:f>
        <x:v>1453323.1870836332</x:v>
      </x:c>
      <x:c r="C10" s="55" t="n">
        <x:f>C8-C9</x:f>
        <x:v>1713080.5854690871</x:v>
      </x:c>
    </x:row>
    <x:row r="11">
      <x:c r="A11" s="20" t="str">
        <x:v>ROI 3 Jahre</x:v>
      </x:c>
      <x:c r="B11" s="44" t="n">
        <x:f>IF(B9=0,0,B10/B9)</x:f>
        <x:v>2.3262997283390634</x:v>
      </x:c>
      <x:c r="C11" s="57" t="n">
        <x:f>IF(C9=0,0,C10/C9)</x:f>
        <x:v>2.742087194381446</x:v>
      </x:c>
    </x:row>
    <x:row r="12">
      <x:c r="A12" s="20" t="str">
        <x:v>Break-even</x:v>
      </x:c>
      <x:c r="B12" s="65" t="n">
        <x:f>IF(MIN(O26:O61)=99,"&gt; 36 Monate",MIN(O26:O61))</x:f>
        <x:v>5</x:v>
      </x:c>
      <x:c r="C12" s="58" t="n">
        <x:f>IF(MIN(P26:P61)=99,"&gt; 36 Monate",MIN(P26:P61))</x:f>
        <x:v>5</x:v>
      </x:c>
    </x:row>
    <x:row r="13">
      <x:c r="A13" s="20" t="str">
        <x:v>Kosten pro Nutzer / 3 Jahre</x:v>
      </x:c>
      <x:c r="B13" s="64" t="n">
        <x:f>IF('1. Eingaben'!B8=0,0,B9/'1. Eingaben'!B8)</x:f>
        <x:v>2082.4533333333334</x:v>
      </x:c>
      <x:c r="C13" s="55" t="n">
        <x:f>IF('1. Eingaben'!B8=0,0,C9/'1. Eingaben'!B8)</x:f>
        <x:v>2082.4533333333334</x:v>
      </x:c>
    </x:row>
    <x:row r="14">
      <x:c r="A14" s="20" t="str">
        <x:v>Realisierter Nutzen pro Nutzer / 3 Jahre</x:v>
      </x:c>
      <x:c r="B14" s="64" t="n">
        <x:f>IF('1. Eingaben'!B8=0,0,B8/'1. Eingaben'!B8)</x:f>
        <x:v>6926.8639569454435</x:v>
      </x:c>
      <x:c r="C14" s="55" t="n">
        <x:f>IF('1. Eingaben'!B8=0,0,C8/'1. Eingaben'!B8)</x:f>
        <x:v>7792.721951563623</x:v>
      </x:c>
    </x:row>
    <x:row r="17" ht="22" customHeight="1">
      <x:c r="A17" s="12" t="str">
        <x:v>REALISTISCHES SZENARIO – JAHRESÜBERSICHT</x:v>
      </x:c>
      <x:c r="B17" s="13" t="str">
        <x:v>REALISTISCHES SZENARIO – JAHRESÜBERSICHT</x:v>
      </x:c>
      <x:c r="C17" s="13" t="str">
        <x:v>REALISTISCHES SZENARIO – JAHRESÜBERSICHT</x:v>
      </x:c>
      <x:c r="D17" s="13" t="str">
        <x:v>REALISTISCHES SZENARIO – JAHRESÜBERSICHT</x:v>
      </x:c>
      <x:c r="E17" s="13" t="str">
        <x:v>REALISTISCHES SZENARIO – JAHRESÜBERSICHT</x:v>
      </x:c>
      <x:c r="F17" s="13" t="str">
        <x:v>REALISTISCHES SZENARIO – JAHRESÜBERSICHT</x:v>
      </x:c>
      <x:c r="G17" s="13" t="str">
        <x:v>REALISTISCHES SZENARIO – JAHRESÜBERSICHT</x:v>
      </x:c>
      <x:c r="H17" s="14" t="str">
        <x:v>REALISTISCHES SZENARIO – JAHRESÜBERSICHT</x:v>
      </x:c>
    </x:row>
    <x:row r="18">
      <x:c r="A18" s="18" t="str">
        <x:v>Jahr</x:v>
      </x:c>
      <x:c r="B18" s="18" t="str">
        <x:v>Realisierter Nutzen</x:v>
      </x:c>
      <x:c r="C18" s="18" t="str">
        <x:v>Lizenzen</x:v>
      </x:c>
      <x:c r="D18" s="18" t="str">
        <x:v>Training</x:v>
      </x:c>
      <x:c r="E18" s="18" t="str">
        <x:v>IT-Setup</x:v>
      </x:c>
      <x:c r="F18" s="18" t="str">
        <x:v>Change &amp; Adoption</x:v>
      </x:c>
      <x:c r="G18" s="18" t="str">
        <x:v>Gesamtkosten</x:v>
      </x:c>
      <x:c r="H18" s="18" t="str">
        <x:v>Netto-Nutzen</x:v>
      </x:c>
    </x:row>
    <x:row r="19">
      <x:c r="A19" s="20" t="n">
        <x:v>1</x:v>
      </x:c>
      <x:c r="B19" s="55" t="n">
        <x:f>SUMIF($B$26:$B$61,A19,$K$26:$K$61)</x:f>
        <x:v>639339.2045889356</x:v>
      </x:c>
      <x:c r="C19" s="55" t="n">
        <x:f>SUMIF($B$26:$B$61,A19,$D$26:$D$61)</x:f>
        <x:v>93600</x:v>
      </x:c>
      <x:c r="D19" s="55" t="n">
        <x:f>SUMIF($B$26:$B$61,A19,$E$26:$E$61)</x:f>
        <x:v>125000</x:v>
      </x:c>
      <x:c r="E19" s="55" t="n">
        <x:f>SUMIF($B$26:$B$61,A19,$F$26:$F$61)</x:f>
        <x:v>27000</x:v>
      </x:c>
      <x:c r="F19" s="55" t="n">
        <x:f>SUMIF($B$26:$B$61,A19,$G$26:$G$61)</x:f>
        <x:v>29472</x:v>
      </x:c>
      <x:c r="G19" s="55" t="n">
        <x:f>SUMIF($B$26:$B$61,A19,$H$26:$H$61)</x:f>
        <x:v>275072</x:v>
      </x:c>
      <x:c r="H19" s="55" t="n">
        <x:f>B19-G19</x:f>
        <x:v>364267.2045889356</x:v>
      </x:c>
    </x:row>
    <x:row r="20">
      <x:c r="A20" s="20" t="n">
        <x:v>2</x:v>
      </x:c>
      <x:c r="B20" s="55" t="n">
        <x:f>SUMIF($B$26:$B$61,A20,$K$26:$K$61)</x:f>
        <x:v>718739.6750717022</x:v>
      </x:c>
      <x:c r="C20" s="55" t="n">
        <x:f>SUMIF($B$26:$B$61,A20,$D$26:$D$61)</x:f>
        <x:v>93600</x:v>
      </x:c>
      <x:c r="D20" s="55" t="n">
        <x:f>SUMIF($B$26:$B$61,A20,$E$26:$E$61)</x:f>
        <x:v>62500</x:v>
      </x:c>
      <x:c r="E20" s="55" t="n">
        <x:f>SUMIF($B$26:$B$61,A20,$F$26:$F$61)</x:f>
        <x:v>0</x:v>
      </x:c>
      <x:c r="F20" s="55" t="n">
        <x:f>SUMIF($B$26:$B$61,A20,$G$26:$G$61)</x:f>
        <x:v>18732</x:v>
      </x:c>
      <x:c r="G20" s="55" t="n">
        <x:f>SUMIF($B$26:$B$61,A20,$H$26:$H$61)</x:f>
        <x:v>174832</x:v>
      </x:c>
      <x:c r="H20" s="55" t="n">
        <x:f>B20-G20</x:f>
        <x:v>543907.6750717022</x:v>
      </x:c>
    </x:row>
    <x:row r="21">
      <x:c r="A21" s="20" t="n">
        <x:v>3</x:v>
      </x:c>
      <x:c r="B21" s="55" t="n">
        <x:f>SUMIF($B$26:$B$61,A21,$K$26:$K$61)</x:f>
        <x:v>719980.3074229953</x:v>
      </x:c>
      <x:c r="C21" s="55" t="n">
        <x:f>SUMIF($B$26:$B$61,A21,$D$26:$D$61)</x:f>
        <x:v>93600</x:v>
      </x:c>
      <x:c r="D21" s="55" t="n">
        <x:f>SUMIF($B$26:$B$61,A21,$E$26:$E$61)</x:f>
        <x:v>62500</x:v>
      </x:c>
      <x:c r="E21" s="55" t="n">
        <x:f>SUMIF($B$26:$B$61,A21,$F$26:$F$61)</x:f>
        <x:v>0</x:v>
      </x:c>
      <x:c r="F21" s="55" t="n">
        <x:f>SUMIF($B$26:$B$61,A21,$G$26:$G$61)</x:f>
        <x:v>18732</x:v>
      </x:c>
      <x:c r="G21" s="55" t="n">
        <x:f>SUMIF($B$26:$B$61,A21,$H$26:$H$61)</x:f>
        <x:v>174832</x:v>
      </x:c>
      <x:c r="H21" s="55" t="n">
        <x:f>B21-G21</x:f>
        <x:v>545148.3074229953</x:v>
      </x:c>
    </x:row>
    <x:row r="24" ht="22" customHeight="1">
      <x:c r="A24" s="12" t="str">
        <x:v>MONATLICHER VERLAUF UND KOSTENZEITPUNKT</x:v>
      </x:c>
      <x:c r="B24" s="13" t="str">
        <x:v>MONATLICHER VERLAUF UND KOSTENZEITPUNKT</x:v>
      </x:c>
      <x:c r="C24" s="13" t="str">
        <x:v>MONATLICHER VERLAUF UND KOSTENZEITPUNKT</x:v>
      </x:c>
      <x:c r="D24" s="13" t="str">
        <x:v>MONATLICHER VERLAUF UND KOSTENZEITPUNKT</x:v>
      </x:c>
      <x:c r="E24" s="13" t="str">
        <x:v>MONATLICHER VERLAUF UND KOSTENZEITPUNKT</x:v>
      </x:c>
      <x:c r="F24" s="13" t="str">
        <x:v>MONATLICHER VERLAUF UND KOSTENZEITPUNKT</x:v>
      </x:c>
      <x:c r="G24" s="13" t="str">
        <x:v>MONATLICHER VERLAUF UND KOSTENZEITPUNKT</x:v>
      </x:c>
      <x:c r="H24" s="13" t="str">
        <x:v>MONATLICHER VERLAUF UND KOSTENZEITPUNKT</x:v>
      </x:c>
      <x:c r="I24" s="13" t="str">
        <x:v>MONATLICHER VERLAUF UND KOSTENZEITPUNKT</x:v>
      </x:c>
      <x:c r="J24" s="13" t="str">
        <x:v>MONATLICHER VERLAUF UND KOSTENZEITPUNKT</x:v>
      </x:c>
      <x:c r="K24" s="13" t="str">
        <x:v>MONATLICHER VERLAUF UND KOSTENZEITPUNKT</x:v>
      </x:c>
      <x:c r="L24" s="13" t="str">
        <x:v>MONATLICHER VERLAUF UND KOSTENZEITPUNKT</x:v>
      </x:c>
      <x:c r="M24" s="13" t="str">
        <x:v>MONATLICHER VERLAUF UND KOSTENZEITPUNKT</x:v>
      </x:c>
      <x:c r="N24" s="14" t="str">
        <x:v>MONATLICHER VERLAUF UND KOSTENZEITPUNKT</x:v>
      </x:c>
    </x:row>
    <x:row r="25">
      <x:c r="A25" s="18" t="str">
        <x:v>Monat</x:v>
      </x:c>
      <x:c r="B25" s="18" t="str">
        <x:v>Jahr</x:v>
      </x:c>
      <x:c r="C25" s="18" t="str">
        <x:v>Nutzer</x:v>
      </x:c>
      <x:c r="D25" s="18" t="str">
        <x:v>Lizenzen</x:v>
      </x:c>
      <x:c r="E25" s="18" t="str">
        <x:v>Training</x:v>
      </x:c>
      <x:c r="F25" s="18" t="str">
        <x:v>IT-Setup</x:v>
      </x:c>
      <x:c r="G25" s="18" t="str">
        <x:v>Change</x:v>
      </x:c>
      <x:c r="H25" s="18" t="str">
        <x:v>Kosten gesamt</x:v>
      </x:c>
      <x:c r="I25" s="18" t="str">
        <x:v>Zeitgewinn realistisch</x:v>
      </x:c>
      <x:c r="J25" s="18" t="str">
        <x:v>Zeitgewinn studiennah</x:v>
      </x:c>
      <x:c r="K25" s="18" t="str">
        <x:v>Nutzen realistisch</x:v>
      </x:c>
      <x:c r="L25" s="18" t="str">
        <x:v>Nutzen studiennah</x:v>
      </x:c>
      <x:c r="M25" s="18" t="str">
        <x:v>Kumuliert realistisch</x:v>
      </x:c>
      <x:c r="N25" s="18" t="str">
        <x:v>Kumuliert studiennah</x:v>
      </x:c>
    </x:row>
    <x:row r="26">
      <x:c r="A26" s="66" t="n">
        <x:v>1</x:v>
      </x:c>
      <x:c r="B26" s="66" t="n">
        <x:f>INT((A26-1)/12)+1</x:f>
        <x:v>1</x:v>
      </x:c>
      <x:c r="C26" s="66" t="n">
        <x:f>'1. Eingaben'!B8</x:f>
        <x:v>300</x:v>
      </x:c>
      <x:c r="D26" s="55" t="n">
        <x:f>C26*'1. Eingaben'!B10</x:f>
        <x:v>7800</x:v>
      </x:c>
      <x:c r="E26" s="55" t="n">
        <x:f>IF(A26=1,INT(('1. Eingaben'!B8+'6. Quellen &amp; Methodik'!B33-1)/'6. Quellen &amp; Methodik'!B33)*('6. Quellen &amp; Methodik'!B31+'6. Quellen &amp; Methodik'!B32*'6. Quellen &amp; Methodik'!B35),IF(OR(A26=13,A26=25),INT(('1. Eingaben'!B8+'6. Quellen &amp; Methodik'!B33-1)/'6. Quellen &amp; Methodik'!B33)*('6. Quellen &amp; Methodik'!B31+'6. Quellen &amp; Methodik'!B32*'6. Quellen &amp; Methodik'!B35)*'6. Quellen &amp; Methodik'!B34,0))</x:f>
        <x:v>125000</x:v>
      </x:c>
      <x:c r="F26" s="55" t="n">
        <x:f>IF(A26=1,'6. Quellen &amp; Methodik'!B16+MIN(C26,50)*'6. Quellen &amp; Methodik'!B17+MAX(MIN(C26-50,200),0)*'6. Quellen &amp; Methodik'!B18+MAX(MIN(C26-250,750),0)*'6. Quellen &amp; Methodik'!B19+MAX(C26-1000,0)*'6. Quellen &amp; Methodik'!B20,0)</x:f>
        <x:v>27000</x:v>
      </x:c>
      <x:c r="G26" s="55" t="n">
        <x:f>IF(OR(A26=1,A26=13,A26=25),'6. Quellen &amp; Methodik'!B36*(C26*'1. Eingaben'!B10*12+E26+F26),0)</x:f>
        <x:v>29472</x:v>
      </x:c>
      <x:c r="H26" s="55" t="n">
        <x:f>SUM(D26:G26)</x:f>
        <x:v>189272</x:v>
      </x:c>
      <x:c r="I26" s="54" t="n">
        <x:f>'4. Szenarien'!B6*(1-(1-'4. Szenarien'!B13)*POWER(0.5,(A26-1)/'4. Szenarien'!B14))</x:f>
        <x:v>4.8</x:v>
      </x:c>
      <x:c r="J26" s="54" t="n">
        <x:f>'4. Szenarien'!B7*(1-(1-'4. Szenarien'!B13)*POWER(0.5,(A26-1)/'4. Szenarien'!B14))</x:f>
        <x:v>5.3999999999999995</x:v>
      </x:c>
      <x:c r="K26" s="55" t="n">
        <x:f>C26*I26*'4. Szenarien'!D6*'1. Eingaben'!B9</x:f>
        <x:v>36000</x:v>
      </x:c>
      <x:c r="L26" s="55" t="n">
        <x:f>C26*J26*'4. Szenarien'!D7*'1. Eingaben'!B9</x:f>
        <x:v>40499.99999999999</x:v>
      </x:c>
      <x:c r="M26" s="55" t="n">
        <x:f>K26-H26</x:f>
        <x:v>-153272</x:v>
      </x:c>
      <x:c r="N26" s="55" t="n">
        <x:f>L26-H26</x:f>
        <x:v>-148772</x:v>
      </x:c>
      <x:c r="O26" s="68" t="n">
        <x:f>IF(M26&gt;=0,A26,99)</x:f>
        <x:v>99</x:v>
      </x:c>
      <x:c r="P26" s="68" t="n">
        <x:f>IF(N26&gt;=0,A26,99)</x:f>
        <x:v>99</x:v>
      </x:c>
    </x:row>
    <x:row r="27">
      <x:c r="A27" s="66" t="n">
        <x:v>2</x:v>
      </x:c>
      <x:c r="B27" s="66" t="n">
        <x:f>INT((A27-1)/12)+1</x:f>
        <x:v>1</x:v>
      </x:c>
      <x:c r="C27" s="66" t="n">
        <x:f>'1. Eingaben'!B8</x:f>
        <x:v>300</x:v>
      </x:c>
      <x:c r="D27" s="55" t="n">
        <x:f>C27*'1. Eingaben'!B10</x:f>
        <x:v>7800</x:v>
      </x:c>
      <x:c r="E27" s="55" t="n">
        <x:f>IF(A27=1,INT(('1. Eingaben'!B8+'6. Quellen &amp; Methodik'!B33-1)/'6. Quellen &amp; Methodik'!B33)*('6. Quellen &amp; Methodik'!B31+'6. Quellen &amp; Methodik'!B32*'6. Quellen &amp; Methodik'!B35),IF(OR(A27=13,A27=25),INT(('1. Eingaben'!B8+'6. Quellen &amp; Methodik'!B33-1)/'6. Quellen &amp; Methodik'!B33)*('6. Quellen &amp; Methodik'!B31+'6. Quellen &amp; Methodik'!B32*'6. Quellen &amp; Methodik'!B35)*'6. Quellen &amp; Methodik'!B34,0))</x:f>
        <x:v>0</x:v>
      </x:c>
      <x:c r="F27" s="55" t="n">
        <x:f>IF(A27=1,'6. Quellen &amp; Methodik'!B16+MIN(C27,50)*'6. Quellen &amp; Methodik'!B17+MAX(MIN(C27-50,200),0)*'6. Quellen &amp; Methodik'!B18+MAX(MIN(C27-250,750),0)*'6. Quellen &amp; Methodik'!B19+MAX(C27-1000,0)*'6. Quellen &amp; Methodik'!B20,0)</x:f>
        <x:v>0</x:v>
      </x:c>
      <x:c r="G27" s="55" t="n">
        <x:f>IF(OR(A27=1,A27=13,A27=25),'6. Quellen &amp; Methodik'!B36*(C27*'1. Eingaben'!B10*12+E27+F27),0)</x:f>
        <x:v>0</x:v>
      </x:c>
      <x:c r="H27" s="55" t="n">
        <x:f>SUM(D27:G27)</x:f>
        <x:v>7800</x:v>
      </x:c>
      <x:c r="I27" s="54" t="n">
        <x:f>'4. Szenarien'!B6*(1-(1-'4. Szenarien'!B13)*POWER(0.5,(A27-1)/'4. Szenarien'!B14))</x:f>
        <x:v>5.737258300203047</x:v>
      </x:c>
      <x:c r="J27" s="54" t="n">
        <x:f>'4. Szenarien'!B7*(1-(1-'4. Szenarien'!B13)*POWER(0.5,(A27-1)/'4. Szenarien'!B14))</x:f>
        <x:v>6.454415587728428</x:v>
      </x:c>
      <x:c r="K27" s="55" t="n">
        <x:f>C27*I27*'4. Szenarien'!D6*'1. Eingaben'!B9</x:f>
        <x:v>43029.43725152285</x:v>
      </x:c>
      <x:c r="L27" s="55" t="n">
        <x:f>C27*J27*'4. Szenarien'!D7*'1. Eingaben'!B9</x:f>
        <x:v>48408.11690796321</x:v>
      </x:c>
      <x:c r="M27" s="55" t="n">
        <x:f>M26+K27-H27</x:f>
        <x:v>-118042.56274847715</x:v>
      </x:c>
      <x:c r="N27" s="55" t="n">
        <x:f>N26+L27-H27</x:f>
        <x:v>-108163.88309203679</x:v>
      </x:c>
      <x:c r="O27" s="68" t="n">
        <x:f>IF(M27&gt;=0,A27,99)</x:f>
        <x:v>99</x:v>
      </x:c>
      <x:c r="P27" s="68" t="n">
        <x:f>IF(N27&gt;=0,A27,99)</x:f>
        <x:v>99</x:v>
      </x:c>
    </x:row>
    <x:row r="28">
      <x:c r="A28" s="66" t="n">
        <x:v>3</x:v>
      </x:c>
      <x:c r="B28" s="66" t="n">
        <x:f>INT((A28-1)/12)+1</x:f>
        <x:v>1</x:v>
      </x:c>
      <x:c r="C28" s="66" t="n">
        <x:f>'1. Eingaben'!B8</x:f>
        <x:v>300</x:v>
      </x:c>
      <x:c r="D28" s="55" t="n">
        <x:f>C28*'1. Eingaben'!B10</x:f>
        <x:v>7800</x:v>
      </x:c>
      <x:c r="E28" s="55" t="n">
        <x:f>IF(A28=1,INT(('1. Eingaben'!B8+'6. Quellen &amp; Methodik'!B33-1)/'6. Quellen &amp; Methodik'!B33)*('6. Quellen &amp; Methodik'!B31+'6. Quellen &amp; Methodik'!B32*'6. Quellen &amp; Methodik'!B35),IF(OR(A28=13,A28=25),INT(('1. Eingaben'!B8+'6. Quellen &amp; Methodik'!B33-1)/'6. Quellen &amp; Methodik'!B33)*('6. Quellen &amp; Methodik'!B31+'6. Quellen &amp; Methodik'!B32*'6. Quellen &amp; Methodik'!B35)*'6. Quellen &amp; Methodik'!B34,0))</x:f>
        <x:v>0</x:v>
      </x:c>
      <x:c r="F28" s="55" t="n">
        <x:f>IF(A28=1,'6. Quellen &amp; Methodik'!B16+MIN(C28,50)*'6. Quellen &amp; Methodik'!B17+MAX(MIN(C28-50,200),0)*'6. Quellen &amp; Methodik'!B18+MAX(MIN(C28-250,750),0)*'6. Quellen &amp; Methodik'!B19+MAX(C28-1000,0)*'6. Quellen &amp; Methodik'!B20,0)</x:f>
        <x:v>0</x:v>
      </x:c>
      <x:c r="G28" s="55" t="n">
        <x:f>IF(OR(A28=1,A28=13,A28=25),'6. Quellen &amp; Methodik'!B36*(C28*'1. Eingaben'!B10*12+E28+F28),0)</x:f>
        <x:v>0</x:v>
      </x:c>
      <x:c r="H28" s="55" t="n">
        <x:f>SUM(D28:G28)</x:f>
        <x:v>7800</x:v>
      </x:c>
      <x:c r="I28" s="54" t="n">
        <x:f>'4. Szenarien'!B6*(1-(1-'4. Szenarien'!B13)*POWER(0.5,(A28-1)/'4. Szenarien'!B14))</x:f>
        <x:v>6.4</x:v>
      </x:c>
      <x:c r="J28" s="54" t="n">
        <x:f>'4. Szenarien'!B7*(1-(1-'4. Szenarien'!B13)*POWER(0.5,(A28-1)/'4. Szenarien'!B14))</x:f>
        <x:v>7.2</x:v>
      </x:c>
      <x:c r="K28" s="55" t="n">
        <x:f>C28*I28*'4. Szenarien'!D6*'1. Eingaben'!B9</x:f>
        <x:v>48000</x:v>
      </x:c>
      <x:c r="L28" s="55" t="n">
        <x:f>C28*J28*'4. Szenarien'!D7*'1. Eingaben'!B9</x:f>
        <x:v>54000</x:v>
      </x:c>
      <x:c r="M28" s="55" t="n">
        <x:f>M27+K28-H28</x:f>
        <x:v>-77842.56274847715</x:v>
      </x:c>
      <x:c r="N28" s="55" t="n">
        <x:f>N27+L28-H28</x:f>
        <x:v>-61963.88309203679</x:v>
      </x:c>
      <x:c r="O28" s="68" t="n">
        <x:f>IF(M28&gt;=0,A28,99)</x:f>
        <x:v>99</x:v>
      </x:c>
      <x:c r="P28" s="68" t="n">
        <x:f>IF(N28&gt;=0,A28,99)</x:f>
        <x:v>99</x:v>
      </x:c>
    </x:row>
    <x:row r="29">
      <x:c r="A29" s="66" t="n">
        <x:v>4</x:v>
      </x:c>
      <x:c r="B29" s="66" t="n">
        <x:f>INT((A29-1)/12)+1</x:f>
        <x:v>1</x:v>
      </x:c>
      <x:c r="C29" s="66" t="n">
        <x:f>'1. Eingaben'!B8</x:f>
        <x:v>300</x:v>
      </x:c>
      <x:c r="D29" s="55" t="n">
        <x:f>C29*'1. Eingaben'!B10</x:f>
        <x:v>7800</x:v>
      </x:c>
      <x:c r="E29" s="55" t="n">
        <x:f>IF(A29=1,INT(('1. Eingaben'!B8+'6. Quellen &amp; Methodik'!B33-1)/'6. Quellen &amp; Methodik'!B33)*('6. Quellen &amp; Methodik'!B31+'6. Quellen &amp; Methodik'!B32*'6. Quellen &amp; Methodik'!B35),IF(OR(A29=13,A29=25),INT(('1. Eingaben'!B8+'6. Quellen &amp; Methodik'!B33-1)/'6. Quellen &amp; Methodik'!B33)*('6. Quellen &amp; Methodik'!B31+'6. Quellen &amp; Methodik'!B32*'6. Quellen &amp; Methodik'!B35)*'6. Quellen &amp; Methodik'!B34,0))</x:f>
        <x:v>0</x:v>
      </x:c>
      <x:c r="F29" s="55" t="n">
        <x:f>IF(A29=1,'6. Quellen &amp; Methodik'!B16+MIN(C29,50)*'6. Quellen &amp; Methodik'!B17+MAX(MIN(C29-50,200),0)*'6. Quellen &amp; Methodik'!B18+MAX(MIN(C29-250,750),0)*'6. Quellen &amp; Methodik'!B19+MAX(C29-1000,0)*'6. Quellen &amp; Methodik'!B20,0)</x:f>
        <x:v>0</x:v>
      </x:c>
      <x:c r="G29" s="55" t="n">
        <x:f>IF(OR(A29=1,A29=13,A29=25),'6. Quellen &amp; Methodik'!B36*(C29*'1. Eingaben'!B10*12+E29+F29),0)</x:f>
        <x:v>0</x:v>
      </x:c>
      <x:c r="H29" s="55" t="n">
        <x:f>SUM(D29:G29)</x:f>
        <x:v>7800</x:v>
      </x:c>
      <x:c r="I29" s="54" t="n">
        <x:f>'4. Szenarien'!B6*(1-(1-'4. Szenarien'!B13)*POWER(0.5,(A29-1)/'4. Szenarien'!B14))</x:f>
        <x:v>6.8686291501015235</x:v>
      </x:c>
      <x:c r="J29" s="54" t="n">
        <x:f>'4. Szenarien'!B7*(1-(1-'4. Szenarien'!B13)*POWER(0.5,(A29-1)/'4. Szenarien'!B14))</x:f>
        <x:v>7.727207793864214</x:v>
      </x:c>
      <x:c r="K29" s="55" t="n">
        <x:f>C29*I29*'4. Szenarien'!D6*'1. Eingaben'!B9</x:f>
        <x:v>51514.71862576143</x:v>
      </x:c>
      <x:c r="L29" s="55" t="n">
        <x:f>C29*J29*'4. Szenarien'!D7*'1. Eingaben'!B9</x:f>
        <x:v>57954.05845398161</x:v>
      </x:c>
      <x:c r="M29" s="55" t="n">
        <x:f>M28+K29-H29</x:f>
        <x:v>-34127.844122715724</x:v>
      </x:c>
      <x:c r="N29" s="55" t="n">
        <x:f>N28+L29-H29</x:f>
        <x:v>-11809.82463805518</x:v>
      </x:c>
      <x:c r="O29" s="68" t="n">
        <x:f>IF(M29&gt;=0,A29,99)</x:f>
        <x:v>99</x:v>
      </x:c>
      <x:c r="P29" s="68" t="n">
        <x:f>IF(N29&gt;=0,A29,99)</x:f>
        <x:v>99</x:v>
      </x:c>
    </x:row>
    <x:row r="30">
      <x:c r="A30" s="66" t="n">
        <x:v>5</x:v>
      </x:c>
      <x:c r="B30" s="66" t="n">
        <x:f>INT((A30-1)/12)+1</x:f>
        <x:v>1</x:v>
      </x:c>
      <x:c r="C30" s="66" t="n">
        <x:f>'1. Eingaben'!B8</x:f>
        <x:v>300</x:v>
      </x:c>
      <x:c r="D30" s="55" t="n">
        <x:f>C30*'1. Eingaben'!B10</x:f>
        <x:v>7800</x:v>
      </x:c>
      <x:c r="E30" s="55" t="n">
        <x:f>IF(A30=1,INT(('1. Eingaben'!B8+'6. Quellen &amp; Methodik'!B33-1)/'6. Quellen &amp; Methodik'!B33)*('6. Quellen &amp; Methodik'!B31+'6. Quellen &amp; Methodik'!B32*'6. Quellen &amp; Methodik'!B35),IF(OR(A30=13,A30=25),INT(('1. Eingaben'!B8+'6. Quellen &amp; Methodik'!B33-1)/'6. Quellen &amp; Methodik'!B33)*('6. Quellen &amp; Methodik'!B31+'6. Quellen &amp; Methodik'!B32*'6. Quellen &amp; Methodik'!B35)*'6. Quellen &amp; Methodik'!B34,0))</x:f>
        <x:v>0</x:v>
      </x:c>
      <x:c r="F30" s="55" t="n">
        <x:f>IF(A30=1,'6. Quellen &amp; Methodik'!B16+MIN(C30,50)*'6. Quellen &amp; Methodik'!B17+MAX(MIN(C30-50,200),0)*'6. Quellen &amp; Methodik'!B18+MAX(MIN(C30-250,750),0)*'6. Quellen &amp; Methodik'!B19+MAX(C30-1000,0)*'6. Quellen &amp; Methodik'!B20,0)</x:f>
        <x:v>0</x:v>
      </x:c>
      <x:c r="G30" s="55" t="n">
        <x:f>IF(OR(A30=1,A30=13,A30=25),'6. Quellen &amp; Methodik'!B36*(C30*'1. Eingaben'!B10*12+E30+F30),0)</x:f>
        <x:v>0</x:v>
      </x:c>
      <x:c r="H30" s="55" t="n">
        <x:f>SUM(D30:G30)</x:f>
        <x:v>7800</x:v>
      </x:c>
      <x:c r="I30" s="54" t="n">
        <x:f>'4. Szenarien'!B6*(1-(1-'4. Szenarien'!B13)*POWER(0.5,(A30-1)/'4. Szenarien'!B14))</x:f>
        <x:v>7.2</x:v>
      </x:c>
      <x:c r="J30" s="54" t="n">
        <x:f>'4. Szenarien'!B7*(1-(1-'4. Szenarien'!B13)*POWER(0.5,(A30-1)/'4. Szenarien'!B14))</x:f>
        <x:v>8.1</x:v>
      </x:c>
      <x:c r="K30" s="55" t="n">
        <x:f>C30*I30*'4. Szenarien'!D6*'1. Eingaben'!B9</x:f>
        <x:v>54000</x:v>
      </x:c>
      <x:c r="L30" s="55" t="n">
        <x:f>C30*J30*'4. Szenarien'!D7*'1. Eingaben'!B9</x:f>
        <x:v>60750</x:v>
      </x:c>
      <x:c r="M30" s="55" t="n">
        <x:f>M29+K30-H30</x:f>
        <x:v>12072.155877284276</x:v>
      </x:c>
      <x:c r="N30" s="55" t="n">
        <x:f>N29+L30-H30</x:f>
        <x:v>41140.17536194482</x:v>
      </x:c>
      <x:c r="O30" s="68" t="n">
        <x:f>IF(M30&gt;=0,A30,99)</x:f>
        <x:v>5</x:v>
      </x:c>
      <x:c r="P30" s="68" t="n">
        <x:f>IF(N30&gt;=0,A30,99)</x:f>
        <x:v>5</x:v>
      </x:c>
    </x:row>
    <x:row r="31">
      <x:c r="A31" s="66" t="n">
        <x:v>6</x:v>
      </x:c>
      <x:c r="B31" s="66" t="n">
        <x:f>INT((A31-1)/12)+1</x:f>
        <x:v>1</x:v>
      </x:c>
      <x:c r="C31" s="66" t="n">
        <x:f>'1. Eingaben'!B8</x:f>
        <x:v>300</x:v>
      </x:c>
      <x:c r="D31" s="55" t="n">
        <x:f>C31*'1. Eingaben'!B10</x:f>
        <x:v>7800</x:v>
      </x:c>
      <x:c r="E31" s="55" t="n">
        <x:f>IF(A31=1,INT(('1. Eingaben'!B8+'6. Quellen &amp; Methodik'!B33-1)/'6. Quellen &amp; Methodik'!B33)*('6. Quellen &amp; Methodik'!B31+'6. Quellen &amp; Methodik'!B32*'6. Quellen &amp; Methodik'!B35),IF(OR(A31=13,A31=25),INT(('1. Eingaben'!B8+'6. Quellen &amp; Methodik'!B33-1)/'6. Quellen &amp; Methodik'!B33)*('6. Quellen &amp; Methodik'!B31+'6. Quellen &amp; Methodik'!B32*'6. Quellen &amp; Methodik'!B35)*'6. Quellen &amp; Methodik'!B34,0))</x:f>
        <x:v>0</x:v>
      </x:c>
      <x:c r="F31" s="55" t="n">
        <x:f>IF(A31=1,'6. Quellen &amp; Methodik'!B16+MIN(C31,50)*'6. Quellen &amp; Methodik'!B17+MAX(MIN(C31-50,200),0)*'6. Quellen &amp; Methodik'!B18+MAX(MIN(C31-250,750),0)*'6. Quellen &amp; Methodik'!B19+MAX(C31-1000,0)*'6. Quellen &amp; Methodik'!B20,0)</x:f>
        <x:v>0</x:v>
      </x:c>
      <x:c r="G31" s="55" t="n">
        <x:f>IF(OR(A31=1,A31=13,A31=25),'6. Quellen &amp; Methodik'!B36*(C31*'1. Eingaben'!B10*12+E31+F31),0)</x:f>
        <x:v>0</x:v>
      </x:c>
      <x:c r="H31" s="55" t="n">
        <x:f>SUM(D31:G31)</x:f>
        <x:v>7800</x:v>
      </x:c>
      <x:c r="I31" s="54" t="n">
        <x:f>'4. Szenarien'!B6*(1-(1-'4. Szenarien'!B13)*POWER(0.5,(A31-1)/'4. Szenarien'!B14))</x:f>
        <x:v>7.434314575050762</x:v>
      </x:c>
      <x:c r="J31" s="54" t="n">
        <x:f>'4. Szenarien'!B7*(1-(1-'4. Szenarien'!B13)*POWER(0.5,(A31-1)/'4. Szenarien'!B14))</x:f>
        <x:v>8.363603896932107</x:v>
      </x:c>
      <x:c r="K31" s="55" t="n">
        <x:f>C31*I31*'4. Szenarien'!D6*'1. Eingaben'!B9</x:f>
        <x:v>55757.35931288071</x:v>
      </x:c>
      <x:c r="L31" s="55" t="n">
        <x:f>C31*J31*'4. Szenarien'!D7*'1. Eingaben'!B9</x:f>
        <x:v>62727.0292269908</x:v>
      </x:c>
      <x:c r="M31" s="55" t="n">
        <x:f>M30+K31-H31</x:f>
        <x:v>60029.515190164995</x:v>
      </x:c>
      <x:c r="N31" s="55" t="n">
        <x:f>N30+L31-H31</x:f>
        <x:v>96067.20458893562</x:v>
      </x:c>
      <x:c r="O31" s="68" t="n">
        <x:f>IF(M31&gt;=0,A31,99)</x:f>
        <x:v>6</x:v>
      </x:c>
      <x:c r="P31" s="68" t="n">
        <x:f>IF(N31&gt;=0,A31,99)</x:f>
        <x:v>6</x:v>
      </x:c>
    </x:row>
    <x:row r="32">
      <x:c r="A32" s="66" t="n">
        <x:v>7</x:v>
      </x:c>
      <x:c r="B32" s="66" t="n">
        <x:f>INT((A32-1)/12)+1</x:f>
        <x:v>1</x:v>
      </x:c>
      <x:c r="C32" s="66" t="n">
        <x:f>'1. Eingaben'!B8</x:f>
        <x:v>300</x:v>
      </x:c>
      <x:c r="D32" s="55" t="n">
        <x:f>C32*'1. Eingaben'!B10</x:f>
        <x:v>7800</x:v>
      </x:c>
      <x:c r="E32" s="55" t="n">
        <x:f>IF(A32=1,INT(('1. Eingaben'!B8+'6. Quellen &amp; Methodik'!B33-1)/'6. Quellen &amp; Methodik'!B33)*('6. Quellen &amp; Methodik'!B31+'6. Quellen &amp; Methodik'!B32*'6. Quellen &amp; Methodik'!B35),IF(OR(A32=13,A32=25),INT(('1. Eingaben'!B8+'6. Quellen &amp; Methodik'!B33-1)/'6. Quellen &amp; Methodik'!B33)*('6. Quellen &amp; Methodik'!B31+'6. Quellen &amp; Methodik'!B32*'6. Quellen &amp; Methodik'!B35)*'6. Quellen &amp; Methodik'!B34,0))</x:f>
        <x:v>0</x:v>
      </x:c>
      <x:c r="F32" s="55" t="n">
        <x:f>IF(A32=1,'6. Quellen &amp; Methodik'!B16+MIN(C32,50)*'6. Quellen &amp; Methodik'!B17+MAX(MIN(C32-50,200),0)*'6. Quellen &amp; Methodik'!B18+MAX(MIN(C32-250,750),0)*'6. Quellen &amp; Methodik'!B19+MAX(C32-1000,0)*'6. Quellen &amp; Methodik'!B20,0)</x:f>
        <x:v>0</x:v>
      </x:c>
      <x:c r="G32" s="55" t="n">
        <x:f>IF(OR(A32=1,A32=13,A32=25),'6. Quellen &amp; Methodik'!B36*(C32*'1. Eingaben'!B10*12+E32+F32),0)</x:f>
        <x:v>0</x:v>
      </x:c>
      <x:c r="H32" s="55" t="n">
        <x:f>SUM(D32:G32)</x:f>
        <x:v>7800</x:v>
      </x:c>
      <x:c r="I32" s="54" t="n">
        <x:f>'4. Szenarien'!B6*(1-(1-'4. Szenarien'!B13)*POWER(0.5,(A32-1)/'4. Szenarien'!B14))</x:f>
        <x:v>7.6</x:v>
      </x:c>
      <x:c r="J32" s="54" t="n">
        <x:f>'4. Szenarien'!B7*(1-(1-'4. Szenarien'!B13)*POWER(0.5,(A32-1)/'4. Szenarien'!B14))</x:f>
        <x:v>8.549999999999999</x:v>
      </x:c>
      <x:c r="K32" s="55" t="n">
        <x:f>C32*I32*'4. Szenarien'!D6*'1. Eingaben'!B9</x:f>
        <x:v>57000</x:v>
      </x:c>
      <x:c r="L32" s="55" t="n">
        <x:f>C32*J32*'4. Szenarien'!D7*'1. Eingaben'!B9</x:f>
        <x:v>64124.999999999985</x:v>
      </x:c>
      <x:c r="M32" s="55" t="n">
        <x:f>M31+K32-H32</x:f>
        <x:v>109229.515190165</x:v>
      </x:c>
      <x:c r="N32" s="55" t="n">
        <x:f>N31+L32-H32</x:f>
        <x:v>152392.2045889356</x:v>
      </x:c>
      <x:c r="O32" s="68" t="n">
        <x:f>IF(M32&gt;=0,A32,99)</x:f>
        <x:v>7</x:v>
      </x:c>
      <x:c r="P32" s="68" t="n">
        <x:f>IF(N32&gt;=0,A32,99)</x:f>
        <x:v>7</x:v>
      </x:c>
    </x:row>
    <x:row r="33">
      <x:c r="A33" s="66" t="n">
        <x:v>8</x:v>
      </x:c>
      <x:c r="B33" s="66" t="n">
        <x:f>INT((A33-1)/12)+1</x:f>
        <x:v>1</x:v>
      </x:c>
      <x:c r="C33" s="66" t="n">
        <x:f>'1. Eingaben'!B8</x:f>
        <x:v>300</x:v>
      </x:c>
      <x:c r="D33" s="55" t="n">
        <x:f>C33*'1. Eingaben'!B10</x:f>
        <x:v>7800</x:v>
      </x:c>
      <x:c r="E33" s="55" t="n">
        <x:f>IF(A33=1,INT(('1. Eingaben'!B8+'6. Quellen &amp; Methodik'!B33-1)/'6. Quellen &amp; Methodik'!B33)*('6. Quellen &amp; Methodik'!B31+'6. Quellen &amp; Methodik'!B32*'6. Quellen &amp; Methodik'!B35),IF(OR(A33=13,A33=25),INT(('1. Eingaben'!B8+'6. Quellen &amp; Methodik'!B33-1)/'6. Quellen &amp; Methodik'!B33)*('6. Quellen &amp; Methodik'!B31+'6. Quellen &amp; Methodik'!B32*'6. Quellen &amp; Methodik'!B35)*'6. Quellen &amp; Methodik'!B34,0))</x:f>
        <x:v>0</x:v>
      </x:c>
      <x:c r="F33" s="55" t="n">
        <x:f>IF(A33=1,'6. Quellen &amp; Methodik'!B16+MIN(C33,50)*'6. Quellen &amp; Methodik'!B17+MAX(MIN(C33-50,200),0)*'6. Quellen &amp; Methodik'!B18+MAX(MIN(C33-250,750),0)*'6. Quellen &amp; Methodik'!B19+MAX(C33-1000,0)*'6. Quellen &amp; Methodik'!B20,0)</x:f>
        <x:v>0</x:v>
      </x:c>
      <x:c r="G33" s="55" t="n">
        <x:f>IF(OR(A33=1,A33=13,A33=25),'6. Quellen &amp; Methodik'!B36*(C33*'1. Eingaben'!B10*12+E33+F33),0)</x:f>
        <x:v>0</x:v>
      </x:c>
      <x:c r="H33" s="55" t="n">
        <x:f>SUM(D33:G33)</x:f>
        <x:v>7800</x:v>
      </x:c>
      <x:c r="I33" s="54" t="n">
        <x:f>'4. Szenarien'!B6*(1-(1-'4. Szenarien'!B13)*POWER(0.5,(A33-1)/'4. Szenarien'!B14))</x:f>
        <x:v>7.717157287525381</x:v>
      </x:c>
      <x:c r="J33" s="54" t="n">
        <x:f>'4. Szenarien'!B7*(1-(1-'4. Szenarien'!B13)*POWER(0.5,(A33-1)/'4. Szenarien'!B14))</x:f>
        <x:v>8.681801948466052</x:v>
      </x:c>
      <x:c r="K33" s="55" t="n">
        <x:f>C33*I33*'4. Szenarien'!D6*'1. Eingaben'!B9</x:f>
        <x:v>57878.67965644035</x:v>
      </x:c>
      <x:c r="L33" s="55" t="n">
        <x:f>C33*J33*'4. Szenarien'!D7*'1. Eingaben'!B9</x:f>
        <x:v>65113.5146134954</x:v>
      </x:c>
      <x:c r="M33" s="55" t="n">
        <x:f>M32+K33-H33</x:f>
        <x:v>159308.19484660536</x:v>
      </x:c>
      <x:c r="N33" s="55" t="n">
        <x:f>N32+L33-H33</x:f>
        <x:v>209705.71920243098</x:v>
      </x:c>
      <x:c r="O33" s="68" t="n">
        <x:f>IF(M33&gt;=0,A33,99)</x:f>
        <x:v>8</x:v>
      </x:c>
      <x:c r="P33" s="68" t="n">
        <x:f>IF(N33&gt;=0,A33,99)</x:f>
        <x:v>8</x:v>
      </x:c>
    </x:row>
    <x:row r="34">
      <x:c r="A34" s="66" t="n">
        <x:v>9</x:v>
      </x:c>
      <x:c r="B34" s="66" t="n">
        <x:f>INT((A34-1)/12)+1</x:f>
        <x:v>1</x:v>
      </x:c>
      <x:c r="C34" s="66" t="n">
        <x:f>'1. Eingaben'!B8</x:f>
        <x:v>300</x:v>
      </x:c>
      <x:c r="D34" s="55" t="n">
        <x:f>C34*'1. Eingaben'!B10</x:f>
        <x:v>7800</x:v>
      </x:c>
      <x:c r="E34" s="55" t="n">
        <x:f>IF(A34=1,INT(('1. Eingaben'!B8+'6. Quellen &amp; Methodik'!B33-1)/'6. Quellen &amp; Methodik'!B33)*('6. Quellen &amp; Methodik'!B31+'6. Quellen &amp; Methodik'!B32*'6. Quellen &amp; Methodik'!B35),IF(OR(A34=13,A34=25),INT(('1. Eingaben'!B8+'6. Quellen &amp; Methodik'!B33-1)/'6. Quellen &amp; Methodik'!B33)*('6. Quellen &amp; Methodik'!B31+'6. Quellen &amp; Methodik'!B32*'6. Quellen &amp; Methodik'!B35)*'6. Quellen &amp; Methodik'!B34,0))</x:f>
        <x:v>0</x:v>
      </x:c>
      <x:c r="F34" s="55" t="n">
        <x:f>IF(A34=1,'6. Quellen &amp; Methodik'!B16+MIN(C34,50)*'6. Quellen &amp; Methodik'!B17+MAX(MIN(C34-50,200),0)*'6. Quellen &amp; Methodik'!B18+MAX(MIN(C34-250,750),0)*'6. Quellen &amp; Methodik'!B19+MAX(C34-1000,0)*'6. Quellen &amp; Methodik'!B20,0)</x:f>
        <x:v>0</x:v>
      </x:c>
      <x:c r="G34" s="55" t="n">
        <x:f>IF(OR(A34=1,A34=13,A34=25),'6. Quellen &amp; Methodik'!B36*(C34*'1. Eingaben'!B10*12+E34+F34),0)</x:f>
        <x:v>0</x:v>
      </x:c>
      <x:c r="H34" s="55" t="n">
        <x:f>SUM(D34:G34)</x:f>
        <x:v>7800</x:v>
      </x:c>
      <x:c r="I34" s="54" t="n">
        <x:f>'4. Szenarien'!B6*(1-(1-'4. Szenarien'!B13)*POWER(0.5,(A34-1)/'4. Szenarien'!B14))</x:f>
        <x:v>7.8</x:v>
      </x:c>
      <x:c r="J34" s="54" t="n">
        <x:f>'4. Szenarien'!B7*(1-(1-'4. Szenarien'!B13)*POWER(0.5,(A34-1)/'4. Szenarien'!B14))</x:f>
        <x:v>8.775</x:v>
      </x:c>
      <x:c r="K34" s="55" t="n">
        <x:f>C34*I34*'4. Szenarien'!D6*'1. Eingaben'!B9</x:f>
        <x:v>58500</x:v>
      </x:c>
      <x:c r="L34" s="55" t="n">
        <x:f>C34*J34*'4. Szenarien'!D7*'1. Eingaben'!B9</x:f>
        <x:v>65812.5</x:v>
      </x:c>
      <x:c r="M34" s="55" t="n">
        <x:f>M33+K34-H34</x:f>
        <x:v>210008.19484660536</x:v>
      </x:c>
      <x:c r="N34" s="55" t="n">
        <x:f>N33+L34-H34</x:f>
        <x:v>267718.219202431</x:v>
      </x:c>
      <x:c r="O34" s="68" t="n">
        <x:f>IF(M34&gt;=0,A34,99)</x:f>
        <x:v>9</x:v>
      </x:c>
      <x:c r="P34" s="68" t="n">
        <x:f>IF(N34&gt;=0,A34,99)</x:f>
        <x:v>9</x:v>
      </x:c>
    </x:row>
    <x:row r="35">
      <x:c r="A35" s="66" t="n">
        <x:v>10</x:v>
      </x:c>
      <x:c r="B35" s="66" t="n">
        <x:f>INT((A35-1)/12)+1</x:f>
        <x:v>1</x:v>
      </x:c>
      <x:c r="C35" s="66" t="n">
        <x:f>'1. Eingaben'!B8</x:f>
        <x:v>300</x:v>
      </x:c>
      <x:c r="D35" s="55" t="n">
        <x:f>C35*'1. Eingaben'!B10</x:f>
        <x:v>7800</x:v>
      </x:c>
      <x:c r="E35" s="55" t="n">
        <x:f>IF(A35=1,INT(('1. Eingaben'!B8+'6. Quellen &amp; Methodik'!B33-1)/'6. Quellen &amp; Methodik'!B33)*('6. Quellen &amp; Methodik'!B31+'6. Quellen &amp; Methodik'!B32*'6. Quellen &amp; Methodik'!B35),IF(OR(A35=13,A35=25),INT(('1. Eingaben'!B8+'6. Quellen &amp; Methodik'!B33-1)/'6. Quellen &amp; Methodik'!B33)*('6. Quellen &amp; Methodik'!B31+'6. Quellen &amp; Methodik'!B32*'6. Quellen &amp; Methodik'!B35)*'6. Quellen &amp; Methodik'!B34,0))</x:f>
        <x:v>0</x:v>
      </x:c>
      <x:c r="F35" s="55" t="n">
        <x:f>IF(A35=1,'6. Quellen &amp; Methodik'!B16+MIN(C35,50)*'6. Quellen &amp; Methodik'!B17+MAX(MIN(C35-50,200),0)*'6. Quellen &amp; Methodik'!B18+MAX(MIN(C35-250,750),0)*'6. Quellen &amp; Methodik'!B19+MAX(C35-1000,0)*'6. Quellen &amp; Methodik'!B20,0)</x:f>
        <x:v>0</x:v>
      </x:c>
      <x:c r="G35" s="55" t="n">
        <x:f>IF(OR(A35=1,A35=13,A35=25),'6. Quellen &amp; Methodik'!B36*(C35*'1. Eingaben'!B10*12+E35+F35),0)</x:f>
        <x:v>0</x:v>
      </x:c>
      <x:c r="H35" s="55" t="n">
        <x:f>SUM(D35:G35)</x:f>
        <x:v>7800</x:v>
      </x:c>
      <x:c r="I35" s="54" t="n">
        <x:f>'4. Szenarien'!B6*(1-(1-'4. Szenarien'!B13)*POWER(0.5,(A35-1)/'4. Szenarien'!B14))</x:f>
        <x:v>7.858578643762691</x:v>
      </x:c>
      <x:c r="J35" s="54" t="n">
        <x:f>'4. Szenarien'!B7*(1-(1-'4. Szenarien'!B13)*POWER(0.5,(A35-1)/'4. Szenarien'!B14))</x:f>
        <x:v>8.840900974233026</x:v>
      </x:c>
      <x:c r="K35" s="55" t="n">
        <x:f>C35*I35*'4. Szenarien'!D6*'1. Eingaben'!B9</x:f>
        <x:v>58939.33982822018</x:v>
      </x:c>
      <x:c r="L35" s="55" t="n">
        <x:f>C35*J35*'4. Szenarien'!D7*'1. Eingaben'!B9</x:f>
        <x:v>66306.75730674769</x:v>
      </x:c>
      <x:c r="M35" s="55" t="n">
        <x:f>M34+K35-H35</x:f>
        <x:v>261147.53467482555</x:v>
      </x:c>
      <x:c r="N35" s="55" t="n">
        <x:f>N34+L35-H35</x:f>
        <x:v>326224.97650917864</x:v>
      </x:c>
      <x:c r="O35" s="68" t="n">
        <x:f>IF(M35&gt;=0,A35,99)</x:f>
        <x:v>10</x:v>
      </x:c>
      <x:c r="P35" s="68" t="n">
        <x:f>IF(N35&gt;=0,A35,99)</x:f>
        <x:v>10</x:v>
      </x:c>
    </x:row>
    <x:row r="36">
      <x:c r="A36" s="66" t="n">
        <x:v>11</x:v>
      </x:c>
      <x:c r="B36" s="66" t="n">
        <x:f>INT((A36-1)/12)+1</x:f>
        <x:v>1</x:v>
      </x:c>
      <x:c r="C36" s="66" t="n">
        <x:f>'1. Eingaben'!B8</x:f>
        <x:v>300</x:v>
      </x:c>
      <x:c r="D36" s="55" t="n">
        <x:f>C36*'1. Eingaben'!B10</x:f>
        <x:v>7800</x:v>
      </x:c>
      <x:c r="E36" s="55" t="n">
        <x:f>IF(A36=1,INT(('1. Eingaben'!B8+'6. Quellen &amp; Methodik'!B33-1)/'6. Quellen &amp; Methodik'!B33)*('6. Quellen &amp; Methodik'!B31+'6. Quellen &amp; Methodik'!B32*'6. Quellen &amp; Methodik'!B35),IF(OR(A36=13,A36=25),INT(('1. Eingaben'!B8+'6. Quellen &amp; Methodik'!B33-1)/'6. Quellen &amp; Methodik'!B33)*('6. Quellen &amp; Methodik'!B31+'6. Quellen &amp; Methodik'!B32*'6. Quellen &amp; Methodik'!B35)*'6. Quellen &amp; Methodik'!B34,0))</x:f>
        <x:v>0</x:v>
      </x:c>
      <x:c r="F36" s="55" t="n">
        <x:f>IF(A36=1,'6. Quellen &amp; Methodik'!B16+MIN(C36,50)*'6. Quellen &amp; Methodik'!B17+MAX(MIN(C36-50,200),0)*'6. Quellen &amp; Methodik'!B18+MAX(MIN(C36-250,750),0)*'6. Quellen &amp; Methodik'!B19+MAX(C36-1000,0)*'6. Quellen &amp; Methodik'!B20,0)</x:f>
        <x:v>0</x:v>
      </x:c>
      <x:c r="G36" s="55" t="n">
        <x:f>IF(OR(A36=1,A36=13,A36=25),'6. Quellen &amp; Methodik'!B36*(C36*'1. Eingaben'!B10*12+E36+F36),0)</x:f>
        <x:v>0</x:v>
      </x:c>
      <x:c r="H36" s="55" t="n">
        <x:f>SUM(D36:G36)</x:f>
        <x:v>7800</x:v>
      </x:c>
      <x:c r="I36" s="54" t="n">
        <x:f>'4. Szenarien'!B6*(1-(1-'4. Szenarien'!B13)*POWER(0.5,(A36-1)/'4. Szenarien'!B14))</x:f>
        <x:v>7.9</x:v>
      </x:c>
      <x:c r="J36" s="54" t="n">
        <x:f>'4. Szenarien'!B7*(1-(1-'4. Szenarien'!B13)*POWER(0.5,(A36-1)/'4. Szenarien'!B14))</x:f>
        <x:v>8.887500000000001</x:v>
      </x:c>
      <x:c r="K36" s="55" t="n">
        <x:f>C36*I36*'4. Szenarien'!D6*'1. Eingaben'!B9</x:f>
        <x:v>59250</x:v>
      </x:c>
      <x:c r="L36" s="55" t="n">
        <x:f>C36*J36*'4. Szenarien'!D7*'1. Eingaben'!B9</x:f>
        <x:v>66656.25000000001</x:v>
      </x:c>
      <x:c r="M36" s="55" t="n">
        <x:f>M35+K36-H36</x:f>
        <x:v>312597.53467482555</x:v>
      </x:c>
      <x:c r="N36" s="55" t="n">
        <x:f>N35+L36-H36</x:f>
        <x:v>385081.22650917864</x:v>
      </x:c>
      <x:c r="O36" s="68" t="n">
        <x:f>IF(M36&gt;=0,A36,99)</x:f>
        <x:v>11</x:v>
      </x:c>
      <x:c r="P36" s="68" t="n">
        <x:f>IF(N36&gt;=0,A36,99)</x:f>
        <x:v>11</x:v>
      </x:c>
    </x:row>
    <x:row r="37">
      <x:c r="A37" s="66" t="n">
        <x:v>12</x:v>
      </x:c>
      <x:c r="B37" s="66" t="n">
        <x:f>INT((A37-1)/12)+1</x:f>
        <x:v>1</x:v>
      </x:c>
      <x:c r="C37" s="66" t="n">
        <x:f>'1. Eingaben'!B8</x:f>
        <x:v>300</x:v>
      </x:c>
      <x:c r="D37" s="55" t="n">
        <x:f>C37*'1. Eingaben'!B10</x:f>
        <x:v>7800</x:v>
      </x:c>
      <x:c r="E37" s="55" t="n">
        <x:f>IF(A37=1,INT(('1. Eingaben'!B8+'6. Quellen &amp; Methodik'!B33-1)/'6. Quellen &amp; Methodik'!B33)*('6. Quellen &amp; Methodik'!B31+'6. Quellen &amp; Methodik'!B32*'6. Quellen &amp; Methodik'!B35),IF(OR(A37=13,A37=25),INT(('1. Eingaben'!B8+'6. Quellen &amp; Methodik'!B33-1)/'6. Quellen &amp; Methodik'!B33)*('6. Quellen &amp; Methodik'!B31+'6. Quellen &amp; Methodik'!B32*'6. Quellen &amp; Methodik'!B35)*'6. Quellen &amp; Methodik'!B34,0))</x:f>
        <x:v>0</x:v>
      </x:c>
      <x:c r="F37" s="55" t="n">
        <x:f>IF(A37=1,'6. Quellen &amp; Methodik'!B16+MIN(C37,50)*'6. Quellen &amp; Methodik'!B17+MAX(MIN(C37-50,200),0)*'6. Quellen &amp; Methodik'!B18+MAX(MIN(C37-250,750),0)*'6. Quellen &amp; Methodik'!B19+MAX(C37-1000,0)*'6. Quellen &amp; Methodik'!B20,0)</x:f>
        <x:v>0</x:v>
      </x:c>
      <x:c r="G37" s="55" t="n">
        <x:f>IF(OR(A37=1,A37=13,A37=25),'6. Quellen &amp; Methodik'!B36*(C37*'1. Eingaben'!B10*12+E37+F37),0)</x:f>
        <x:v>0</x:v>
      </x:c>
      <x:c r="H37" s="55" t="n">
        <x:f>SUM(D37:G37)</x:f>
        <x:v>7800</x:v>
      </x:c>
      <x:c r="I37" s="54" t="n">
        <x:f>'4. Szenarien'!B6*(1-(1-'4. Szenarien'!B13)*POWER(0.5,(A37-1)/'4. Szenarien'!B14))</x:f>
        <x:v>7.929289321881345</x:v>
      </x:c>
      <x:c r="J37" s="54" t="n">
        <x:f>'4. Szenarien'!B7*(1-(1-'4. Szenarien'!B13)*POWER(0.5,(A37-1)/'4. Szenarien'!B14))</x:f>
        <x:v>8.920450487116513</x:v>
      </x:c>
      <x:c r="K37" s="55" t="n">
        <x:f>C37*I37*'4. Szenarien'!D6*'1. Eingaben'!B9</x:f>
        <x:v>59469.66991411009</x:v>
      </x:c>
      <x:c r="L37" s="55" t="n">
        <x:f>C37*J37*'4. Szenarien'!D7*'1. Eingaben'!B9</x:f>
        <x:v>66903.37865337385</x:v>
      </x:c>
      <x:c r="M37" s="55" t="n">
        <x:f>M36+K37-H37</x:f>
        <x:v>364267.20458893565</x:v>
      </x:c>
      <x:c r="N37" s="55" t="n">
        <x:f>N36+L37-H37</x:f>
        <x:v>444184.6051625525</x:v>
      </x:c>
      <x:c r="O37" s="68" t="n">
        <x:f>IF(M37&gt;=0,A37,99)</x:f>
        <x:v>12</x:v>
      </x:c>
      <x:c r="P37" s="68" t="n">
        <x:f>IF(N37&gt;=0,A37,99)</x:f>
        <x:v>12</x:v>
      </x:c>
    </x:row>
    <x:row r="38">
      <x:c r="A38" s="66" t="n">
        <x:v>13</x:v>
      </x:c>
      <x:c r="B38" s="66" t="n">
        <x:f>INT((A38-1)/12)+1</x:f>
        <x:v>2</x:v>
      </x:c>
      <x:c r="C38" s="66" t="n">
        <x:f>'1. Eingaben'!B8</x:f>
        <x:v>300</x:v>
      </x:c>
      <x:c r="D38" s="55" t="n">
        <x:f>C38*'1. Eingaben'!B10</x:f>
        <x:v>7800</x:v>
      </x:c>
      <x:c r="E38" s="55" t="n">
        <x:f>IF(A38=1,INT(('1. Eingaben'!B8+'6. Quellen &amp; Methodik'!B33-1)/'6. Quellen &amp; Methodik'!B33)*('6. Quellen &amp; Methodik'!B31+'6. Quellen &amp; Methodik'!B32*'6. Quellen &amp; Methodik'!B35),IF(OR(A38=13,A38=25),INT(('1. Eingaben'!B8+'6. Quellen &amp; Methodik'!B33-1)/'6. Quellen &amp; Methodik'!B33)*('6. Quellen &amp; Methodik'!B31+'6. Quellen &amp; Methodik'!B32*'6. Quellen &amp; Methodik'!B35)*'6. Quellen &amp; Methodik'!B34,0))</x:f>
        <x:v>62500</x:v>
      </x:c>
      <x:c r="F38" s="55" t="n">
        <x:f>IF(A38=1,'6. Quellen &amp; Methodik'!B16+MIN(C38,50)*'6. Quellen &amp; Methodik'!B17+MAX(MIN(C38-50,200),0)*'6. Quellen &amp; Methodik'!B18+MAX(MIN(C38-250,750),0)*'6. Quellen &amp; Methodik'!B19+MAX(C38-1000,0)*'6. Quellen &amp; Methodik'!B20,0)</x:f>
        <x:v>0</x:v>
      </x:c>
      <x:c r="G38" s="55" t="n">
        <x:f>IF(OR(A38=1,A38=13,A38=25),'6. Quellen &amp; Methodik'!B36*(C38*'1. Eingaben'!B10*12+E38+F38),0)</x:f>
        <x:v>18732</x:v>
      </x:c>
      <x:c r="H38" s="55" t="n">
        <x:f>SUM(D38:G38)</x:f>
        <x:v>89032</x:v>
      </x:c>
      <x:c r="I38" s="54" t="n">
        <x:f>'4. Szenarien'!B6*(1-(1-'4. Szenarien'!B13)*POWER(0.5,(A38-1)/'4. Szenarien'!B14))</x:f>
        <x:v>7.95</x:v>
      </x:c>
      <x:c r="J38" s="54" t="n">
        <x:f>'4. Szenarien'!B7*(1-(1-'4. Szenarien'!B13)*POWER(0.5,(A38-1)/'4. Szenarien'!B14))</x:f>
        <x:v>8.94375</x:v>
      </x:c>
      <x:c r="K38" s="55" t="n">
        <x:f>C38*I38*'4. Szenarien'!D6*'1. Eingaben'!B9</x:f>
        <x:v>59625</x:v>
      </x:c>
      <x:c r="L38" s="55" t="n">
        <x:f>C38*J38*'4. Szenarien'!D7*'1. Eingaben'!B9</x:f>
        <x:v>67078.125</x:v>
      </x:c>
      <x:c r="M38" s="55" t="n">
        <x:f>M37+K38-H38</x:f>
        <x:v>334860.20458893565</x:v>
      </x:c>
      <x:c r="N38" s="55" t="n">
        <x:f>N37+L38-H38</x:f>
        <x:v>422230.7301625525</x:v>
      </x:c>
      <x:c r="O38" s="68" t="n">
        <x:f>IF(M38&gt;=0,A38,99)</x:f>
        <x:v>13</x:v>
      </x:c>
      <x:c r="P38" s="68" t="n">
        <x:f>IF(N38&gt;=0,A38,99)</x:f>
        <x:v>13</x:v>
      </x:c>
    </x:row>
    <x:row r="39">
      <x:c r="A39" s="66" t="n">
        <x:v>14</x:v>
      </x:c>
      <x:c r="B39" s="66" t="n">
        <x:f>INT((A39-1)/12)+1</x:f>
        <x:v>2</x:v>
      </x:c>
      <x:c r="C39" s="66" t="n">
        <x:f>'1. Eingaben'!B8</x:f>
        <x:v>300</x:v>
      </x:c>
      <x:c r="D39" s="55" t="n">
        <x:f>C39*'1. Eingaben'!B10</x:f>
        <x:v>7800</x:v>
      </x:c>
      <x:c r="E39" s="55" t="n">
        <x:f>IF(A39=1,INT(('1. Eingaben'!B8+'6. Quellen &amp; Methodik'!B33-1)/'6. Quellen &amp; Methodik'!B33)*('6. Quellen &amp; Methodik'!B31+'6. Quellen &amp; Methodik'!B32*'6. Quellen &amp; Methodik'!B35),IF(OR(A39=13,A39=25),INT(('1. Eingaben'!B8+'6. Quellen &amp; Methodik'!B33-1)/'6. Quellen &amp; Methodik'!B33)*('6. Quellen &amp; Methodik'!B31+'6. Quellen &amp; Methodik'!B32*'6. Quellen &amp; Methodik'!B35)*'6. Quellen &amp; Methodik'!B34,0))</x:f>
        <x:v>0</x:v>
      </x:c>
      <x:c r="F39" s="55" t="n">
        <x:f>IF(A39=1,'6. Quellen &amp; Methodik'!B16+MIN(C39,50)*'6. Quellen &amp; Methodik'!B17+MAX(MIN(C39-50,200),0)*'6. Quellen &amp; Methodik'!B18+MAX(MIN(C39-250,750),0)*'6. Quellen &amp; Methodik'!B19+MAX(C39-1000,0)*'6. Quellen &amp; Methodik'!B20,0)</x:f>
        <x:v>0</x:v>
      </x:c>
      <x:c r="G39" s="55" t="n">
        <x:f>IF(OR(A39=1,A39=13,A39=25),'6. Quellen &amp; Methodik'!B36*(C39*'1. Eingaben'!B10*12+E39+F39),0)</x:f>
        <x:v>0</x:v>
      </x:c>
      <x:c r="H39" s="55" t="n">
        <x:f>SUM(D39:G39)</x:f>
        <x:v>7800</x:v>
      </x:c>
      <x:c r="I39" s="54" t="n">
        <x:f>'4. Szenarien'!B6*(1-(1-'4. Szenarien'!B13)*POWER(0.5,(A39-1)/'4. Szenarien'!B14))</x:f>
        <x:v>7.964644660940673</x:v>
      </x:c>
      <x:c r="J39" s="54" t="n">
        <x:f>'4. Szenarien'!B7*(1-(1-'4. Szenarien'!B13)*POWER(0.5,(A39-1)/'4. Szenarien'!B14))</x:f>
        <x:v>8.960225243558257</x:v>
      </x:c>
      <x:c r="K39" s="55" t="n">
        <x:f>C39*I39*'4. Szenarien'!D6*'1. Eingaben'!B9</x:f>
        <x:v>59734.83495705505</x:v>
      </x:c>
      <x:c r="L39" s="55" t="n">
        <x:f>C39*J39*'4. Szenarien'!D7*'1. Eingaben'!B9</x:f>
        <x:v>67201.68932668693</x:v>
      </x:c>
      <x:c r="M39" s="55" t="n">
        <x:f>M38+K39-H39</x:f>
        <x:v>386795.0395459907</x:v>
      </x:c>
      <x:c r="N39" s="55" t="n">
        <x:f>N38+L39-H39</x:f>
        <x:v>481632.41948923946</x:v>
      </x:c>
      <x:c r="O39" s="68" t="n">
        <x:f>IF(M39&gt;=0,A39,99)</x:f>
        <x:v>14</x:v>
      </x:c>
      <x:c r="P39" s="68" t="n">
        <x:f>IF(N39&gt;=0,A39,99)</x:f>
        <x:v>14</x:v>
      </x:c>
    </x:row>
    <x:row r="40">
      <x:c r="A40" s="66" t="n">
        <x:v>15</x:v>
      </x:c>
      <x:c r="B40" s="66" t="n">
        <x:f>INT((A40-1)/12)+1</x:f>
        <x:v>2</x:v>
      </x:c>
      <x:c r="C40" s="66" t="n">
        <x:f>'1. Eingaben'!B8</x:f>
        <x:v>300</x:v>
      </x:c>
      <x:c r="D40" s="55" t="n">
        <x:f>C40*'1. Eingaben'!B10</x:f>
        <x:v>7800</x:v>
      </x:c>
      <x:c r="E40" s="55" t="n">
        <x:f>IF(A40=1,INT(('1. Eingaben'!B8+'6. Quellen &amp; Methodik'!B33-1)/'6. Quellen &amp; Methodik'!B33)*('6. Quellen &amp; Methodik'!B31+'6. Quellen &amp; Methodik'!B32*'6. Quellen &amp; Methodik'!B35),IF(OR(A40=13,A40=25),INT(('1. Eingaben'!B8+'6. Quellen &amp; Methodik'!B33-1)/'6. Quellen &amp; Methodik'!B33)*('6. Quellen &amp; Methodik'!B31+'6. Quellen &amp; Methodik'!B32*'6. Quellen &amp; Methodik'!B35)*'6. Quellen &amp; Methodik'!B34,0))</x:f>
        <x:v>0</x:v>
      </x:c>
      <x:c r="F40" s="55" t="n">
        <x:f>IF(A40=1,'6. Quellen &amp; Methodik'!B16+MIN(C40,50)*'6. Quellen &amp; Methodik'!B17+MAX(MIN(C40-50,200),0)*'6. Quellen &amp; Methodik'!B18+MAX(MIN(C40-250,750),0)*'6. Quellen &amp; Methodik'!B19+MAX(C40-1000,0)*'6. Quellen &amp; Methodik'!B20,0)</x:f>
        <x:v>0</x:v>
      </x:c>
      <x:c r="G40" s="55" t="n">
        <x:f>IF(OR(A40=1,A40=13,A40=25),'6. Quellen &amp; Methodik'!B36*(C40*'1. Eingaben'!B10*12+E40+F40),0)</x:f>
        <x:v>0</x:v>
      </x:c>
      <x:c r="H40" s="55" t="n">
        <x:f>SUM(D40:G40)</x:f>
        <x:v>7800</x:v>
      </x:c>
      <x:c r="I40" s="54" t="n">
        <x:f>'4. Szenarien'!B6*(1-(1-'4. Szenarien'!B13)*POWER(0.5,(A40-1)/'4. Szenarien'!B14))</x:f>
        <x:v>7.975</x:v>
      </x:c>
      <x:c r="J40" s="54" t="n">
        <x:f>'4. Szenarien'!B7*(1-(1-'4. Szenarien'!B13)*POWER(0.5,(A40-1)/'4. Szenarien'!B14))</x:f>
        <x:v>8.971874999999999</x:v>
      </x:c>
      <x:c r="K40" s="55" t="n">
        <x:f>C40*I40*'4. Szenarien'!D6*'1. Eingaben'!B9</x:f>
        <x:v>59812.5</x:v>
      </x:c>
      <x:c r="L40" s="55" t="n">
        <x:f>C40*J40*'4. Szenarien'!D7*'1. Eingaben'!B9</x:f>
        <x:v>67289.06249999999</x:v>
      </x:c>
      <x:c r="M40" s="55" t="n">
        <x:f>M39+K40-H40</x:f>
        <x:v>438807.5395459907</x:v>
      </x:c>
      <x:c r="N40" s="55" t="n">
        <x:f>N39+L40-H40</x:f>
        <x:v>541121.4819892395</x:v>
      </x:c>
      <x:c r="O40" s="68" t="n">
        <x:f>IF(M40&gt;=0,A40,99)</x:f>
        <x:v>15</x:v>
      </x:c>
      <x:c r="P40" s="68" t="n">
        <x:f>IF(N40&gt;=0,A40,99)</x:f>
        <x:v>15</x:v>
      </x:c>
    </x:row>
    <x:row r="41">
      <x:c r="A41" s="66" t="n">
        <x:v>16</x:v>
      </x:c>
      <x:c r="B41" s="66" t="n">
        <x:f>INT((A41-1)/12)+1</x:f>
        <x:v>2</x:v>
      </x:c>
      <x:c r="C41" s="66" t="n">
        <x:f>'1. Eingaben'!B8</x:f>
        <x:v>300</x:v>
      </x:c>
      <x:c r="D41" s="55" t="n">
        <x:f>C41*'1. Eingaben'!B10</x:f>
        <x:v>7800</x:v>
      </x:c>
      <x:c r="E41" s="55" t="n">
        <x:f>IF(A41=1,INT(('1. Eingaben'!B8+'6. Quellen &amp; Methodik'!B33-1)/'6. Quellen &amp; Methodik'!B33)*('6. Quellen &amp; Methodik'!B31+'6. Quellen &amp; Methodik'!B32*'6. Quellen &amp; Methodik'!B35),IF(OR(A41=13,A41=25),INT(('1. Eingaben'!B8+'6. Quellen &amp; Methodik'!B33-1)/'6. Quellen &amp; Methodik'!B33)*('6. Quellen &amp; Methodik'!B31+'6. Quellen &amp; Methodik'!B32*'6. Quellen &amp; Methodik'!B35)*'6. Quellen &amp; Methodik'!B34,0))</x:f>
        <x:v>0</x:v>
      </x:c>
      <x:c r="F41" s="55" t="n">
        <x:f>IF(A41=1,'6. Quellen &amp; Methodik'!B16+MIN(C41,50)*'6. Quellen &amp; Methodik'!B17+MAX(MIN(C41-50,200),0)*'6. Quellen &amp; Methodik'!B18+MAX(MIN(C41-250,750),0)*'6. Quellen &amp; Methodik'!B19+MAX(C41-1000,0)*'6. Quellen &amp; Methodik'!B20,0)</x:f>
        <x:v>0</x:v>
      </x:c>
      <x:c r="G41" s="55" t="n">
        <x:f>IF(OR(A41=1,A41=13,A41=25),'6. Quellen &amp; Methodik'!B36*(C41*'1. Eingaben'!B10*12+E41+F41),0)</x:f>
        <x:v>0</x:v>
      </x:c>
      <x:c r="H41" s="55" t="n">
        <x:f>SUM(D41:G41)</x:f>
        <x:v>7800</x:v>
      </x:c>
      <x:c r="I41" s="54" t="n">
        <x:f>'4. Szenarien'!B6*(1-(1-'4. Szenarien'!B13)*POWER(0.5,(A41-1)/'4. Szenarien'!B14))</x:f>
        <x:v>7.982322330470336</x:v>
      </x:c>
      <x:c r="J41" s="54" t="n">
        <x:f>'4. Szenarien'!B7*(1-(1-'4. Szenarien'!B13)*POWER(0.5,(A41-1)/'4. Szenarien'!B14))</x:f>
        <x:v>8.980112621779128</x:v>
      </x:c>
      <x:c r="K41" s="55" t="n">
        <x:f>C41*I41*'4. Szenarien'!D6*'1. Eingaben'!B9</x:f>
        <x:v>59867.417478527525</x:v>
      </x:c>
      <x:c r="L41" s="55" t="n">
        <x:f>C41*J41*'4. Szenarien'!D7*'1. Eingaben'!B9</x:f>
        <x:v>67350.84466334345</x:v>
      </x:c>
      <x:c r="M41" s="55" t="n">
        <x:f>M40+K41-H41</x:f>
        <x:v>490874.9570245182</x:v>
      </x:c>
      <x:c r="N41" s="55" t="n">
        <x:f>N40+L41-H41</x:f>
        <x:v>600672.326652583</x:v>
      </x:c>
      <x:c r="O41" s="68" t="n">
        <x:f>IF(M41&gt;=0,A41,99)</x:f>
        <x:v>16</x:v>
      </x:c>
      <x:c r="P41" s="68" t="n">
        <x:f>IF(N41&gt;=0,A41,99)</x:f>
        <x:v>16</x:v>
      </x:c>
    </x:row>
    <x:row r="42">
      <x:c r="A42" s="66" t="n">
        <x:v>17</x:v>
      </x:c>
      <x:c r="B42" s="66" t="n">
        <x:f>INT((A42-1)/12)+1</x:f>
        <x:v>2</x:v>
      </x:c>
      <x:c r="C42" s="66" t="n">
        <x:f>'1. Eingaben'!B8</x:f>
        <x:v>300</x:v>
      </x:c>
      <x:c r="D42" s="55" t="n">
        <x:f>C42*'1. Eingaben'!B10</x:f>
        <x:v>7800</x:v>
      </x:c>
      <x:c r="E42" s="55" t="n">
        <x:f>IF(A42=1,INT(('1. Eingaben'!B8+'6. Quellen &amp; Methodik'!B33-1)/'6. Quellen &amp; Methodik'!B33)*('6. Quellen &amp; Methodik'!B31+'6. Quellen &amp; Methodik'!B32*'6. Quellen &amp; Methodik'!B35),IF(OR(A42=13,A42=25),INT(('1. Eingaben'!B8+'6. Quellen &amp; Methodik'!B33-1)/'6. Quellen &amp; Methodik'!B33)*('6. Quellen &amp; Methodik'!B31+'6. Quellen &amp; Methodik'!B32*'6. Quellen &amp; Methodik'!B35)*'6. Quellen &amp; Methodik'!B34,0))</x:f>
        <x:v>0</x:v>
      </x:c>
      <x:c r="F42" s="55" t="n">
        <x:f>IF(A42=1,'6. Quellen &amp; Methodik'!B16+MIN(C42,50)*'6. Quellen &amp; Methodik'!B17+MAX(MIN(C42-50,200),0)*'6. Quellen &amp; Methodik'!B18+MAX(MIN(C42-250,750),0)*'6. Quellen &amp; Methodik'!B19+MAX(C42-1000,0)*'6. Quellen &amp; Methodik'!B20,0)</x:f>
        <x:v>0</x:v>
      </x:c>
      <x:c r="G42" s="55" t="n">
        <x:f>IF(OR(A42=1,A42=13,A42=25),'6. Quellen &amp; Methodik'!B36*(C42*'1. Eingaben'!B10*12+E42+F42),0)</x:f>
        <x:v>0</x:v>
      </x:c>
      <x:c r="H42" s="55" t="n">
        <x:f>SUM(D42:G42)</x:f>
        <x:v>7800</x:v>
      </x:c>
      <x:c r="I42" s="54" t="n">
        <x:f>'4. Szenarien'!B6*(1-(1-'4. Szenarien'!B13)*POWER(0.5,(A42-1)/'4. Szenarien'!B14))</x:f>
        <x:v>7.9875</x:v>
      </x:c>
      <x:c r="J42" s="54" t="n">
        <x:f>'4. Szenarien'!B7*(1-(1-'4. Szenarien'!B13)*POWER(0.5,(A42-1)/'4. Szenarien'!B14))</x:f>
        <x:v>8.9859375</x:v>
      </x:c>
      <x:c r="K42" s="55" t="n">
        <x:f>C42*I42*'4. Szenarien'!D6*'1. Eingaben'!B9</x:f>
        <x:v>59906.25</x:v>
      </x:c>
      <x:c r="L42" s="55" t="n">
        <x:f>C42*J42*'4. Szenarien'!D7*'1. Eingaben'!B9</x:f>
        <x:v>67394.53125</x:v>
      </x:c>
      <x:c r="M42" s="55" t="n">
        <x:f>M41+K42-H42</x:f>
        <x:v>542981.2070245182</x:v>
      </x:c>
      <x:c r="N42" s="55" t="n">
        <x:f>N41+L42-H42</x:f>
        <x:v>660266.857902583</x:v>
      </x:c>
      <x:c r="O42" s="68" t="n">
        <x:f>IF(M42&gt;=0,A42,99)</x:f>
        <x:v>17</x:v>
      </x:c>
      <x:c r="P42" s="68" t="n">
        <x:f>IF(N42&gt;=0,A42,99)</x:f>
        <x:v>17</x:v>
      </x:c>
    </x:row>
    <x:row r="43">
      <x:c r="A43" s="66" t="n">
        <x:v>18</x:v>
      </x:c>
      <x:c r="B43" s="66" t="n">
        <x:f>INT((A43-1)/12)+1</x:f>
        <x:v>2</x:v>
      </x:c>
      <x:c r="C43" s="66" t="n">
        <x:f>'1. Eingaben'!B8</x:f>
        <x:v>300</x:v>
      </x:c>
      <x:c r="D43" s="55" t="n">
        <x:f>C43*'1. Eingaben'!B10</x:f>
        <x:v>7800</x:v>
      </x:c>
      <x:c r="E43" s="55" t="n">
        <x:f>IF(A43=1,INT(('1. Eingaben'!B8+'6. Quellen &amp; Methodik'!B33-1)/'6. Quellen &amp; Methodik'!B33)*('6. Quellen &amp; Methodik'!B31+'6. Quellen &amp; Methodik'!B32*'6. Quellen &amp; Methodik'!B35),IF(OR(A43=13,A43=25),INT(('1. Eingaben'!B8+'6. Quellen &amp; Methodik'!B33-1)/'6. Quellen &amp; Methodik'!B33)*('6. Quellen &amp; Methodik'!B31+'6. Quellen &amp; Methodik'!B32*'6. Quellen &amp; Methodik'!B35)*'6. Quellen &amp; Methodik'!B34,0))</x:f>
        <x:v>0</x:v>
      </x:c>
      <x:c r="F43" s="55" t="n">
        <x:f>IF(A43=1,'6. Quellen &amp; Methodik'!B16+MIN(C43,50)*'6. Quellen &amp; Methodik'!B17+MAX(MIN(C43-50,200),0)*'6. Quellen &amp; Methodik'!B18+MAX(MIN(C43-250,750),0)*'6. Quellen &amp; Methodik'!B19+MAX(C43-1000,0)*'6. Quellen &amp; Methodik'!B20,0)</x:f>
        <x:v>0</x:v>
      </x:c>
      <x:c r="G43" s="55" t="n">
        <x:f>IF(OR(A43=1,A43=13,A43=25),'6. Quellen &amp; Methodik'!B36*(C43*'1. Eingaben'!B10*12+E43+F43),0)</x:f>
        <x:v>0</x:v>
      </x:c>
      <x:c r="H43" s="55" t="n">
        <x:f>SUM(D43:G43)</x:f>
        <x:v>7800</x:v>
      </x:c>
      <x:c r="I43" s="54" t="n">
        <x:f>'4. Szenarien'!B6*(1-(1-'4. Szenarien'!B13)*POWER(0.5,(A43-1)/'4. Szenarien'!B14))</x:f>
        <x:v>7.991161165235168</x:v>
      </x:c>
      <x:c r="J43" s="54" t="n">
        <x:f>'4. Szenarien'!B7*(1-(1-'4. Szenarien'!B13)*POWER(0.5,(A43-1)/'4. Szenarien'!B14))</x:f>
        <x:v>8.990056310889564</x:v>
      </x:c>
      <x:c r="K43" s="55" t="n">
        <x:f>C43*I43*'4. Szenarien'!D6*'1. Eingaben'!B9</x:f>
        <x:v>59933.70873926376</x:v>
      </x:c>
      <x:c r="L43" s="55" t="n">
        <x:f>C43*J43*'4. Szenarien'!D7*'1. Eingaben'!B9</x:f>
        <x:v>67425.42233167174</x:v>
      </x:c>
      <x:c r="M43" s="55" t="n">
        <x:f>M42+K43-H43</x:f>
        <x:v>595114.9157637819</x:v>
      </x:c>
      <x:c r="N43" s="55" t="n">
        <x:f>N42+L43-H43</x:f>
        <x:v>719892.2802342547</x:v>
      </x:c>
      <x:c r="O43" s="68" t="n">
        <x:f>IF(M43&gt;=0,A43,99)</x:f>
        <x:v>18</x:v>
      </x:c>
      <x:c r="P43" s="68" t="n">
        <x:f>IF(N43&gt;=0,A43,99)</x:f>
        <x:v>18</x:v>
      </x:c>
    </x:row>
    <x:row r="44">
      <x:c r="A44" s="66" t="n">
        <x:v>19</x:v>
      </x:c>
      <x:c r="B44" s="66" t="n">
        <x:f>INT((A44-1)/12)+1</x:f>
        <x:v>2</x:v>
      </x:c>
      <x:c r="C44" s="66" t="n">
        <x:f>'1. Eingaben'!B8</x:f>
        <x:v>300</x:v>
      </x:c>
      <x:c r="D44" s="55" t="n">
        <x:f>C44*'1. Eingaben'!B10</x:f>
        <x:v>7800</x:v>
      </x:c>
      <x:c r="E44" s="55" t="n">
        <x:f>IF(A44=1,INT(('1. Eingaben'!B8+'6. Quellen &amp; Methodik'!B33-1)/'6. Quellen &amp; Methodik'!B33)*('6. Quellen &amp; Methodik'!B31+'6. Quellen &amp; Methodik'!B32*'6. Quellen &amp; Methodik'!B35),IF(OR(A44=13,A44=25),INT(('1. Eingaben'!B8+'6. Quellen &amp; Methodik'!B33-1)/'6. Quellen &amp; Methodik'!B33)*('6. Quellen &amp; Methodik'!B31+'6. Quellen &amp; Methodik'!B32*'6. Quellen &amp; Methodik'!B35)*'6. Quellen &amp; Methodik'!B34,0))</x:f>
        <x:v>0</x:v>
      </x:c>
      <x:c r="F44" s="55" t="n">
        <x:f>IF(A44=1,'6. Quellen &amp; Methodik'!B16+MIN(C44,50)*'6. Quellen &amp; Methodik'!B17+MAX(MIN(C44-50,200),0)*'6. Quellen &amp; Methodik'!B18+MAX(MIN(C44-250,750),0)*'6. Quellen &amp; Methodik'!B19+MAX(C44-1000,0)*'6. Quellen &amp; Methodik'!B20,0)</x:f>
        <x:v>0</x:v>
      </x:c>
      <x:c r="G44" s="55" t="n">
        <x:f>IF(OR(A44=1,A44=13,A44=25),'6. Quellen &amp; Methodik'!B36*(C44*'1. Eingaben'!B10*12+E44+F44),0)</x:f>
        <x:v>0</x:v>
      </x:c>
      <x:c r="H44" s="55" t="n">
        <x:f>SUM(D44:G44)</x:f>
        <x:v>7800</x:v>
      </x:c>
      <x:c r="I44" s="54" t="n">
        <x:f>'4. Szenarien'!B6*(1-(1-'4. Szenarien'!B13)*POWER(0.5,(A44-1)/'4. Szenarien'!B14))</x:f>
        <x:v>7.99375</x:v>
      </x:c>
      <x:c r="J44" s="54" t="n">
        <x:f>'4. Szenarien'!B7*(1-(1-'4. Szenarien'!B13)*POWER(0.5,(A44-1)/'4. Szenarien'!B14))</x:f>
        <x:v>8.992968750000001</x:v>
      </x:c>
      <x:c r="K44" s="55" t="n">
        <x:f>C44*I44*'4. Szenarien'!D6*'1. Eingaben'!B9</x:f>
        <x:v>59953.125</x:v>
      </x:c>
      <x:c r="L44" s="55" t="n">
        <x:f>C44*J44*'4. Szenarien'!D7*'1. Eingaben'!B9</x:f>
        <x:v>67447.26562500001</x:v>
      </x:c>
      <x:c r="M44" s="55" t="n">
        <x:f>M43+K44-H44</x:f>
        <x:v>647268.0407637819</x:v>
      </x:c>
      <x:c r="N44" s="55" t="n">
        <x:f>N43+L44-H44</x:f>
        <x:v>779539.5458592547</x:v>
      </x:c>
      <x:c r="O44" s="68" t="n">
        <x:f>IF(M44&gt;=0,A44,99)</x:f>
        <x:v>19</x:v>
      </x:c>
      <x:c r="P44" s="68" t="n">
        <x:f>IF(N44&gt;=0,A44,99)</x:f>
        <x:v>19</x:v>
      </x:c>
    </x:row>
    <x:row r="45">
      <x:c r="A45" s="66" t="n">
        <x:v>20</x:v>
      </x:c>
      <x:c r="B45" s="66" t="n">
        <x:f>INT((A45-1)/12)+1</x:f>
        <x:v>2</x:v>
      </x:c>
      <x:c r="C45" s="66" t="n">
        <x:f>'1. Eingaben'!B8</x:f>
        <x:v>300</x:v>
      </x:c>
      <x:c r="D45" s="55" t="n">
        <x:f>C45*'1. Eingaben'!B10</x:f>
        <x:v>7800</x:v>
      </x:c>
      <x:c r="E45" s="55" t="n">
        <x:f>IF(A45=1,INT(('1. Eingaben'!B8+'6. Quellen &amp; Methodik'!B33-1)/'6. Quellen &amp; Methodik'!B33)*('6. Quellen &amp; Methodik'!B31+'6. Quellen &amp; Methodik'!B32*'6. Quellen &amp; Methodik'!B35),IF(OR(A45=13,A45=25),INT(('1. Eingaben'!B8+'6. Quellen &amp; Methodik'!B33-1)/'6. Quellen &amp; Methodik'!B33)*('6. Quellen &amp; Methodik'!B31+'6. Quellen &amp; Methodik'!B32*'6. Quellen &amp; Methodik'!B35)*'6. Quellen &amp; Methodik'!B34,0))</x:f>
        <x:v>0</x:v>
      </x:c>
      <x:c r="F45" s="55" t="n">
        <x:f>IF(A45=1,'6. Quellen &amp; Methodik'!B16+MIN(C45,50)*'6. Quellen &amp; Methodik'!B17+MAX(MIN(C45-50,200),0)*'6. Quellen &amp; Methodik'!B18+MAX(MIN(C45-250,750),0)*'6. Quellen &amp; Methodik'!B19+MAX(C45-1000,0)*'6. Quellen &amp; Methodik'!B20,0)</x:f>
        <x:v>0</x:v>
      </x:c>
      <x:c r="G45" s="55" t="n">
        <x:f>IF(OR(A45=1,A45=13,A45=25),'6. Quellen &amp; Methodik'!B36*(C45*'1. Eingaben'!B10*12+E45+F45),0)</x:f>
        <x:v>0</x:v>
      </x:c>
      <x:c r="H45" s="55" t="n">
        <x:f>SUM(D45:G45)</x:f>
        <x:v>7800</x:v>
      </x:c>
      <x:c r="I45" s="54" t="n">
        <x:f>'4. Szenarien'!B6*(1-(1-'4. Szenarien'!B13)*POWER(0.5,(A45-1)/'4. Szenarien'!B14))</x:f>
        <x:v>7.995580582617584</x:v>
      </x:c>
      <x:c r="J45" s="54" t="n">
        <x:f>'4. Szenarien'!B7*(1-(1-'4. Szenarien'!B13)*POWER(0.5,(A45-1)/'4. Szenarien'!B14))</x:f>
        <x:v>8.995028155444782</x:v>
      </x:c>
      <x:c r="K45" s="55" t="n">
        <x:f>C45*I45*'4. Szenarien'!D6*'1. Eingaben'!B9</x:f>
        <x:v>59966.85436963188</x:v>
      </x:c>
      <x:c r="L45" s="55" t="n">
        <x:f>C45*J45*'4. Szenarien'!D7*'1. Eingaben'!B9</x:f>
        <x:v>67462.71116583586</x:v>
      </x:c>
      <x:c r="M45" s="55" t="n">
        <x:f>M44+K45-H45</x:f>
        <x:v>699434.8951334137</x:v>
      </x:c>
      <x:c r="N45" s="55" t="n">
        <x:f>N44+L45-H45</x:f>
        <x:v>839202.2570250905</x:v>
      </x:c>
      <x:c r="O45" s="68" t="n">
        <x:f>IF(M45&gt;=0,A45,99)</x:f>
        <x:v>20</x:v>
      </x:c>
      <x:c r="P45" s="68" t="n">
        <x:f>IF(N45&gt;=0,A45,99)</x:f>
        <x:v>20</x:v>
      </x:c>
    </x:row>
    <x:row r="46">
      <x:c r="A46" s="66" t="n">
        <x:v>21</x:v>
      </x:c>
      <x:c r="B46" s="66" t="n">
        <x:f>INT((A46-1)/12)+1</x:f>
        <x:v>2</x:v>
      </x:c>
      <x:c r="C46" s="66" t="n">
        <x:f>'1. Eingaben'!B8</x:f>
        <x:v>300</x:v>
      </x:c>
      <x:c r="D46" s="55" t="n">
        <x:f>C46*'1. Eingaben'!B10</x:f>
        <x:v>7800</x:v>
      </x:c>
      <x:c r="E46" s="55" t="n">
        <x:f>IF(A46=1,INT(('1. Eingaben'!B8+'6. Quellen &amp; Methodik'!B33-1)/'6. Quellen &amp; Methodik'!B33)*('6. Quellen &amp; Methodik'!B31+'6. Quellen &amp; Methodik'!B32*'6. Quellen &amp; Methodik'!B35),IF(OR(A46=13,A46=25),INT(('1. Eingaben'!B8+'6. Quellen &amp; Methodik'!B33-1)/'6. Quellen &amp; Methodik'!B33)*('6. Quellen &amp; Methodik'!B31+'6. Quellen &amp; Methodik'!B32*'6. Quellen &amp; Methodik'!B35)*'6. Quellen &amp; Methodik'!B34,0))</x:f>
        <x:v>0</x:v>
      </x:c>
      <x:c r="F46" s="55" t="n">
        <x:f>IF(A46=1,'6. Quellen &amp; Methodik'!B16+MIN(C46,50)*'6. Quellen &amp; Methodik'!B17+MAX(MIN(C46-50,200),0)*'6. Quellen &amp; Methodik'!B18+MAX(MIN(C46-250,750),0)*'6. Quellen &amp; Methodik'!B19+MAX(C46-1000,0)*'6. Quellen &amp; Methodik'!B20,0)</x:f>
        <x:v>0</x:v>
      </x:c>
      <x:c r="G46" s="55" t="n">
        <x:f>IF(OR(A46=1,A46=13,A46=25),'6. Quellen &amp; Methodik'!B36*(C46*'1. Eingaben'!B10*12+E46+F46),0)</x:f>
        <x:v>0</x:v>
      </x:c>
      <x:c r="H46" s="55" t="n">
        <x:f>SUM(D46:G46)</x:f>
        <x:v>7800</x:v>
      </x:c>
      <x:c r="I46" s="54" t="n">
        <x:f>'4. Szenarien'!B6*(1-(1-'4. Szenarien'!B13)*POWER(0.5,(A46-1)/'4. Szenarien'!B14))</x:f>
        <x:v>7.996875</x:v>
      </x:c>
      <x:c r="J46" s="54" t="n">
        <x:f>'4. Szenarien'!B7*(1-(1-'4. Szenarien'!B13)*POWER(0.5,(A46-1)/'4. Szenarien'!B14))</x:f>
        <x:v>8.996484375</x:v>
      </x:c>
      <x:c r="K46" s="55" t="n">
        <x:f>C46*I46*'4. Szenarien'!D6*'1. Eingaben'!B9</x:f>
        <x:v>59976.5625</x:v>
      </x:c>
      <x:c r="L46" s="55" t="n">
        <x:f>C46*J46*'4. Szenarien'!D7*'1. Eingaben'!B9</x:f>
        <x:v>67473.6328125</x:v>
      </x:c>
      <x:c r="M46" s="55" t="n">
        <x:f>M45+K46-H46</x:f>
        <x:v>751611.4576334137</x:v>
      </x:c>
      <x:c r="N46" s="55" t="n">
        <x:f>N45+L46-H46</x:f>
        <x:v>898875.8898375905</x:v>
      </x:c>
      <x:c r="O46" s="68" t="n">
        <x:f>IF(M46&gt;=0,A46,99)</x:f>
        <x:v>21</x:v>
      </x:c>
      <x:c r="P46" s="68" t="n">
        <x:f>IF(N46&gt;=0,A46,99)</x:f>
        <x:v>21</x:v>
      </x:c>
    </x:row>
    <x:row r="47">
      <x:c r="A47" s="66" t="n">
        <x:v>22</x:v>
      </x:c>
      <x:c r="B47" s="66" t="n">
        <x:f>INT((A47-1)/12)+1</x:f>
        <x:v>2</x:v>
      </x:c>
      <x:c r="C47" s="66" t="n">
        <x:f>'1. Eingaben'!B8</x:f>
        <x:v>300</x:v>
      </x:c>
      <x:c r="D47" s="55" t="n">
        <x:f>C47*'1. Eingaben'!B10</x:f>
        <x:v>7800</x:v>
      </x:c>
      <x:c r="E47" s="55" t="n">
        <x:f>IF(A47=1,INT(('1. Eingaben'!B8+'6. Quellen &amp; Methodik'!B33-1)/'6. Quellen &amp; Methodik'!B33)*('6. Quellen &amp; Methodik'!B31+'6. Quellen &amp; Methodik'!B32*'6. Quellen &amp; Methodik'!B35),IF(OR(A47=13,A47=25),INT(('1. Eingaben'!B8+'6. Quellen &amp; Methodik'!B33-1)/'6. Quellen &amp; Methodik'!B33)*('6. Quellen &amp; Methodik'!B31+'6. Quellen &amp; Methodik'!B32*'6. Quellen &amp; Methodik'!B35)*'6. Quellen &amp; Methodik'!B34,0))</x:f>
        <x:v>0</x:v>
      </x:c>
      <x:c r="F47" s="55" t="n">
        <x:f>IF(A47=1,'6. Quellen &amp; Methodik'!B16+MIN(C47,50)*'6. Quellen &amp; Methodik'!B17+MAX(MIN(C47-50,200),0)*'6. Quellen &amp; Methodik'!B18+MAX(MIN(C47-250,750),0)*'6. Quellen &amp; Methodik'!B19+MAX(C47-1000,0)*'6. Quellen &amp; Methodik'!B20,0)</x:f>
        <x:v>0</x:v>
      </x:c>
      <x:c r="G47" s="55" t="n">
        <x:f>IF(OR(A47=1,A47=13,A47=25),'6. Quellen &amp; Methodik'!B36*(C47*'1. Eingaben'!B10*12+E47+F47),0)</x:f>
        <x:v>0</x:v>
      </x:c>
      <x:c r="H47" s="55" t="n">
        <x:f>SUM(D47:G47)</x:f>
        <x:v>7800</x:v>
      </x:c>
      <x:c r="I47" s="54" t="n">
        <x:f>'4. Szenarien'!B6*(1-(1-'4. Szenarien'!B13)*POWER(0.5,(A47-1)/'4. Szenarien'!B14))</x:f>
        <x:v>7.997790291308792</x:v>
      </x:c>
      <x:c r="J47" s="54" t="n">
        <x:f>'4. Szenarien'!B7*(1-(1-'4. Szenarien'!B13)*POWER(0.5,(A47-1)/'4. Szenarien'!B14))</x:f>
        <x:v>8.997514077722391</x:v>
      </x:c>
      <x:c r="K47" s="55" t="n">
        <x:f>C47*I47*'4. Szenarien'!D6*'1. Eingaben'!B9</x:f>
        <x:v>59983.42718481595</x:v>
      </x:c>
      <x:c r="L47" s="55" t="n">
        <x:f>C47*J47*'4. Szenarien'!D7*'1. Eingaben'!B9</x:f>
        <x:v>67481.35558291794</x:v>
      </x:c>
      <x:c r="M47" s="55" t="n">
        <x:f>M46+K47-H47</x:f>
        <x:v>803794.8848182297</x:v>
      </x:c>
      <x:c r="N47" s="55" t="n">
        <x:f>N46+L47-H47</x:f>
        <x:v>958557.2454205084</x:v>
      </x:c>
      <x:c r="O47" s="68" t="n">
        <x:f>IF(M47&gt;=0,A47,99)</x:f>
        <x:v>22</x:v>
      </x:c>
      <x:c r="P47" s="68" t="n">
        <x:f>IF(N47&gt;=0,A47,99)</x:f>
        <x:v>22</x:v>
      </x:c>
    </x:row>
    <x:row r="48">
      <x:c r="A48" s="66" t="n">
        <x:v>23</x:v>
      </x:c>
      <x:c r="B48" s="66" t="n">
        <x:f>INT((A48-1)/12)+1</x:f>
        <x:v>2</x:v>
      </x:c>
      <x:c r="C48" s="66" t="n">
        <x:f>'1. Eingaben'!B8</x:f>
        <x:v>300</x:v>
      </x:c>
      <x:c r="D48" s="55" t="n">
        <x:f>C48*'1. Eingaben'!B10</x:f>
        <x:v>7800</x:v>
      </x:c>
      <x:c r="E48" s="55" t="n">
        <x:f>IF(A48=1,INT(('1. Eingaben'!B8+'6. Quellen &amp; Methodik'!B33-1)/'6. Quellen &amp; Methodik'!B33)*('6. Quellen &amp; Methodik'!B31+'6. Quellen &amp; Methodik'!B32*'6. Quellen &amp; Methodik'!B35),IF(OR(A48=13,A48=25),INT(('1. Eingaben'!B8+'6. Quellen &amp; Methodik'!B33-1)/'6. Quellen &amp; Methodik'!B33)*('6. Quellen &amp; Methodik'!B31+'6. Quellen &amp; Methodik'!B32*'6. Quellen &amp; Methodik'!B35)*'6. Quellen &amp; Methodik'!B34,0))</x:f>
        <x:v>0</x:v>
      </x:c>
      <x:c r="F48" s="55" t="n">
        <x:f>IF(A48=1,'6. Quellen &amp; Methodik'!B16+MIN(C48,50)*'6. Quellen &amp; Methodik'!B17+MAX(MIN(C48-50,200),0)*'6. Quellen &amp; Methodik'!B18+MAX(MIN(C48-250,750),0)*'6. Quellen &amp; Methodik'!B19+MAX(C48-1000,0)*'6. Quellen &amp; Methodik'!B20,0)</x:f>
        <x:v>0</x:v>
      </x:c>
      <x:c r="G48" s="55" t="n">
        <x:f>IF(OR(A48=1,A48=13,A48=25),'6. Quellen &amp; Methodik'!B36*(C48*'1. Eingaben'!B10*12+E48+F48),0)</x:f>
        <x:v>0</x:v>
      </x:c>
      <x:c r="H48" s="55" t="n">
        <x:f>SUM(D48:G48)</x:f>
        <x:v>7800</x:v>
      </x:c>
      <x:c r="I48" s="54" t="n">
        <x:f>'4. Szenarien'!B6*(1-(1-'4. Szenarien'!B13)*POWER(0.5,(A48-1)/'4. Szenarien'!B14))</x:f>
        <x:v>7.9984375</x:v>
      </x:c>
      <x:c r="J48" s="54" t="n">
        <x:f>'4. Szenarien'!B7*(1-(1-'4. Szenarien'!B13)*POWER(0.5,(A48-1)/'4. Szenarien'!B14))</x:f>
        <x:v>8.998242187499999</x:v>
      </x:c>
      <x:c r="K48" s="55" t="n">
        <x:f>C48*I48*'4. Szenarien'!D6*'1. Eingaben'!B9</x:f>
        <x:v>59988.28125</x:v>
      </x:c>
      <x:c r="L48" s="55" t="n">
        <x:f>C48*J48*'4. Szenarien'!D7*'1. Eingaben'!B9</x:f>
        <x:v>67486.81640624999</x:v>
      </x:c>
      <x:c r="M48" s="55" t="n">
        <x:f>M47+K48-H48</x:f>
        <x:v>855983.1660682297</x:v>
      </x:c>
      <x:c r="N48" s="55" t="n">
        <x:f>N47+L48-H48</x:f>
        <x:v>1018244.0618267584</x:v>
      </x:c>
      <x:c r="O48" s="68" t="n">
        <x:f>IF(M48&gt;=0,A48,99)</x:f>
        <x:v>23</x:v>
      </x:c>
      <x:c r="P48" s="68" t="n">
        <x:f>IF(N48&gt;=0,A48,99)</x:f>
        <x:v>23</x:v>
      </x:c>
    </x:row>
    <x:row r="49">
      <x:c r="A49" s="66" t="n">
        <x:v>24</x:v>
      </x:c>
      <x:c r="B49" s="66" t="n">
        <x:f>INT((A49-1)/12)+1</x:f>
        <x:v>2</x:v>
      </x:c>
      <x:c r="C49" s="66" t="n">
        <x:f>'1. Eingaben'!B8</x:f>
        <x:v>300</x:v>
      </x:c>
      <x:c r="D49" s="55" t="n">
        <x:f>C49*'1. Eingaben'!B10</x:f>
        <x:v>7800</x:v>
      </x:c>
      <x:c r="E49" s="55" t="n">
        <x:f>IF(A49=1,INT(('1. Eingaben'!B8+'6. Quellen &amp; Methodik'!B33-1)/'6. Quellen &amp; Methodik'!B33)*('6. Quellen &amp; Methodik'!B31+'6. Quellen &amp; Methodik'!B32*'6. Quellen &amp; Methodik'!B35),IF(OR(A49=13,A49=25),INT(('1. Eingaben'!B8+'6. Quellen &amp; Methodik'!B33-1)/'6. Quellen &amp; Methodik'!B33)*('6. Quellen &amp; Methodik'!B31+'6. Quellen &amp; Methodik'!B32*'6. Quellen &amp; Methodik'!B35)*'6. Quellen &amp; Methodik'!B34,0))</x:f>
        <x:v>0</x:v>
      </x:c>
      <x:c r="F49" s="55" t="n">
        <x:f>IF(A49=1,'6. Quellen &amp; Methodik'!B16+MIN(C49,50)*'6. Quellen &amp; Methodik'!B17+MAX(MIN(C49-50,200),0)*'6. Quellen &amp; Methodik'!B18+MAX(MIN(C49-250,750),0)*'6. Quellen &amp; Methodik'!B19+MAX(C49-1000,0)*'6. Quellen &amp; Methodik'!B20,0)</x:f>
        <x:v>0</x:v>
      </x:c>
      <x:c r="G49" s="55" t="n">
        <x:f>IF(OR(A49=1,A49=13,A49=25),'6. Quellen &amp; Methodik'!B36*(C49*'1. Eingaben'!B10*12+E49+F49),0)</x:f>
        <x:v>0</x:v>
      </x:c>
      <x:c r="H49" s="55" t="n">
        <x:f>SUM(D49:G49)</x:f>
        <x:v>7800</x:v>
      </x:c>
      <x:c r="I49" s="54" t="n">
        <x:f>'4. Szenarien'!B6*(1-(1-'4. Szenarien'!B13)*POWER(0.5,(A49-1)/'4. Szenarien'!B14))</x:f>
        <x:v>7.998895145654396</x:v>
      </x:c>
      <x:c r="J49" s="54" t="n">
        <x:f>'4. Szenarien'!B7*(1-(1-'4. Szenarien'!B13)*POWER(0.5,(A49-1)/'4. Szenarien'!B14))</x:f>
        <x:v>8.998757038861196</x:v>
      </x:c>
      <x:c r="K49" s="55" t="n">
        <x:f>C49*I49*'4. Szenarien'!D6*'1. Eingaben'!B9</x:f>
        <x:v>59991.71359240797</x:v>
      </x:c>
      <x:c r="L49" s="55" t="n">
        <x:f>C49*J49*'4. Szenarien'!D7*'1. Eingaben'!B9</x:f>
        <x:v>67490.67779145898</x:v>
      </x:c>
      <x:c r="M49" s="55" t="n">
        <x:f>M48+K49-H49</x:f>
        <x:v>908174.8796606377</x:v>
      </x:c>
      <x:c r="N49" s="55" t="n">
        <x:f>N48+L49-H49</x:f>
        <x:v>1077934.7396182173</x:v>
      </x:c>
      <x:c r="O49" s="68" t="n">
        <x:f>IF(M49&gt;=0,A49,99)</x:f>
        <x:v>24</x:v>
      </x:c>
      <x:c r="P49" s="68" t="n">
        <x:f>IF(N49&gt;=0,A49,99)</x:f>
        <x:v>24</x:v>
      </x:c>
    </x:row>
    <x:row r="50">
      <x:c r="A50" s="66" t="n">
        <x:v>25</x:v>
      </x:c>
      <x:c r="B50" s="66" t="n">
        <x:f>INT((A50-1)/12)+1</x:f>
        <x:v>3</x:v>
      </x:c>
      <x:c r="C50" s="66" t="n">
        <x:f>'1. Eingaben'!B8</x:f>
        <x:v>300</x:v>
      </x:c>
      <x:c r="D50" s="55" t="n">
        <x:f>C50*'1. Eingaben'!B10</x:f>
        <x:v>7800</x:v>
      </x:c>
      <x:c r="E50" s="55" t="n">
        <x:f>IF(A50=1,INT(('1. Eingaben'!B8+'6. Quellen &amp; Methodik'!B33-1)/'6. Quellen &amp; Methodik'!B33)*('6. Quellen &amp; Methodik'!B31+'6. Quellen &amp; Methodik'!B32*'6. Quellen &amp; Methodik'!B35),IF(OR(A50=13,A50=25),INT(('1. Eingaben'!B8+'6. Quellen &amp; Methodik'!B33-1)/'6. Quellen &amp; Methodik'!B33)*('6. Quellen &amp; Methodik'!B31+'6. Quellen &amp; Methodik'!B32*'6. Quellen &amp; Methodik'!B35)*'6. Quellen &amp; Methodik'!B34,0))</x:f>
        <x:v>62500</x:v>
      </x:c>
      <x:c r="F50" s="55" t="n">
        <x:f>IF(A50=1,'6. Quellen &amp; Methodik'!B16+MIN(C50,50)*'6. Quellen &amp; Methodik'!B17+MAX(MIN(C50-50,200),0)*'6. Quellen &amp; Methodik'!B18+MAX(MIN(C50-250,750),0)*'6. Quellen &amp; Methodik'!B19+MAX(C50-1000,0)*'6. Quellen &amp; Methodik'!B20,0)</x:f>
        <x:v>0</x:v>
      </x:c>
      <x:c r="G50" s="55" t="n">
        <x:f>IF(OR(A50=1,A50=13,A50=25),'6. Quellen &amp; Methodik'!B36*(C50*'1. Eingaben'!B10*12+E50+F50),0)</x:f>
        <x:v>18732</x:v>
      </x:c>
      <x:c r="H50" s="55" t="n">
        <x:f>SUM(D50:G50)</x:f>
        <x:v>89032</x:v>
      </x:c>
      <x:c r="I50" s="54" t="n">
        <x:f>'4. Szenarien'!B6*(1-(1-'4. Szenarien'!B13)*POWER(0.5,(A50-1)/'4. Szenarien'!B14))</x:f>
        <x:v>7.99921875</x:v>
      </x:c>
      <x:c r="J50" s="54" t="n">
        <x:f>'4. Szenarien'!B7*(1-(1-'4. Szenarien'!B13)*POWER(0.5,(A50-1)/'4. Szenarien'!B14))</x:f>
        <x:v>8.99912109375</x:v>
      </x:c>
      <x:c r="K50" s="55" t="n">
        <x:f>C50*I50*'4. Szenarien'!D6*'1. Eingaben'!B9</x:f>
        <x:v>59994.140625</x:v>
      </x:c>
      <x:c r="L50" s="55" t="n">
        <x:f>C50*J50*'4. Szenarien'!D7*'1. Eingaben'!B9</x:f>
        <x:v>67493.408203125</x:v>
      </x:c>
      <x:c r="M50" s="55" t="n">
        <x:f>M49+K50-H50</x:f>
        <x:v>879137.0202856377</x:v>
      </x:c>
      <x:c r="N50" s="55" t="n">
        <x:f>N49+L50-H50</x:f>
        <x:v>1056396.1478213423</x:v>
      </x:c>
      <x:c r="O50" s="68" t="n">
        <x:f>IF(M50&gt;=0,A50,99)</x:f>
        <x:v>25</x:v>
      </x:c>
      <x:c r="P50" s="68" t="n">
        <x:f>IF(N50&gt;=0,A50,99)</x:f>
        <x:v>25</x:v>
      </x:c>
    </x:row>
    <x:row r="51">
      <x:c r="A51" s="66" t="n">
        <x:v>26</x:v>
      </x:c>
      <x:c r="B51" s="66" t="n">
        <x:f>INT((A51-1)/12)+1</x:f>
        <x:v>3</x:v>
      </x:c>
      <x:c r="C51" s="66" t="n">
        <x:f>'1. Eingaben'!B8</x:f>
        <x:v>300</x:v>
      </x:c>
      <x:c r="D51" s="55" t="n">
        <x:f>C51*'1. Eingaben'!B10</x:f>
        <x:v>7800</x:v>
      </x:c>
      <x:c r="E51" s="55" t="n">
        <x:f>IF(A51=1,INT(('1. Eingaben'!B8+'6. Quellen &amp; Methodik'!B33-1)/'6. Quellen &amp; Methodik'!B33)*('6. Quellen &amp; Methodik'!B31+'6. Quellen &amp; Methodik'!B32*'6. Quellen &amp; Methodik'!B35),IF(OR(A51=13,A51=25),INT(('1. Eingaben'!B8+'6. Quellen &amp; Methodik'!B33-1)/'6. Quellen &amp; Methodik'!B33)*('6. Quellen &amp; Methodik'!B31+'6. Quellen &amp; Methodik'!B32*'6. Quellen &amp; Methodik'!B35)*'6. Quellen &amp; Methodik'!B34,0))</x:f>
        <x:v>0</x:v>
      </x:c>
      <x:c r="F51" s="55" t="n">
        <x:f>IF(A51=1,'6. Quellen &amp; Methodik'!B16+MIN(C51,50)*'6. Quellen &amp; Methodik'!B17+MAX(MIN(C51-50,200),0)*'6. Quellen &amp; Methodik'!B18+MAX(MIN(C51-250,750),0)*'6. Quellen &amp; Methodik'!B19+MAX(C51-1000,0)*'6. Quellen &amp; Methodik'!B20,0)</x:f>
        <x:v>0</x:v>
      </x:c>
      <x:c r="G51" s="55" t="n">
        <x:f>IF(OR(A51=1,A51=13,A51=25),'6. Quellen &amp; Methodik'!B36*(C51*'1. Eingaben'!B10*12+E51+F51),0)</x:f>
        <x:v>0</x:v>
      </x:c>
      <x:c r="H51" s="55" t="n">
        <x:f>SUM(D51:G51)</x:f>
        <x:v>7800</x:v>
      </x:c>
      <x:c r="I51" s="54" t="n">
        <x:f>'4. Szenarien'!B6*(1-(1-'4. Szenarien'!B13)*POWER(0.5,(A51-1)/'4. Szenarien'!B14))</x:f>
        <x:v>7.999447572827198</x:v>
      </x:c>
      <x:c r="J51" s="54" t="n">
        <x:f>'4. Szenarien'!B7*(1-(1-'4. Szenarien'!B13)*POWER(0.5,(A51-1)/'4. Szenarien'!B14))</x:f>
        <x:v>8.999378519430598</x:v>
      </x:c>
      <x:c r="K51" s="55" t="n">
        <x:f>C51*I51*'4. Szenarien'!D6*'1. Eingaben'!B9</x:f>
        <x:v>59995.85679620399</x:v>
      </x:c>
      <x:c r="L51" s="55" t="n">
        <x:f>C51*J51*'4. Szenarien'!D7*'1. Eingaben'!B9</x:f>
        <x:v>67495.3388957295</x:v>
      </x:c>
      <x:c r="M51" s="55" t="n">
        <x:f>M50+K51-H51</x:f>
        <x:v>931332.8770818417</x:v>
      </x:c>
      <x:c r="N51" s="55" t="n">
        <x:f>N50+L51-H51</x:f>
        <x:v>1116091.4867170718</x:v>
      </x:c>
      <x:c r="O51" s="68" t="n">
        <x:f>IF(M51&gt;=0,A51,99)</x:f>
        <x:v>26</x:v>
      </x:c>
      <x:c r="P51" s="68" t="n">
        <x:f>IF(N51&gt;=0,A51,99)</x:f>
        <x:v>26</x:v>
      </x:c>
    </x:row>
    <x:row r="52">
      <x:c r="A52" s="66" t="n">
        <x:v>27</x:v>
      </x:c>
      <x:c r="B52" s="66" t="n">
        <x:f>INT((A52-1)/12)+1</x:f>
        <x:v>3</x:v>
      </x:c>
      <x:c r="C52" s="66" t="n">
        <x:f>'1. Eingaben'!B8</x:f>
        <x:v>300</x:v>
      </x:c>
      <x:c r="D52" s="55" t="n">
        <x:f>C52*'1. Eingaben'!B10</x:f>
        <x:v>7800</x:v>
      </x:c>
      <x:c r="E52" s="55" t="n">
        <x:f>IF(A52=1,INT(('1. Eingaben'!B8+'6. Quellen &amp; Methodik'!B33-1)/'6. Quellen &amp; Methodik'!B33)*('6. Quellen &amp; Methodik'!B31+'6. Quellen &amp; Methodik'!B32*'6. Quellen &amp; Methodik'!B35),IF(OR(A52=13,A52=25),INT(('1. Eingaben'!B8+'6. Quellen &amp; Methodik'!B33-1)/'6. Quellen &amp; Methodik'!B33)*('6. Quellen &amp; Methodik'!B31+'6. Quellen &amp; Methodik'!B32*'6. Quellen &amp; Methodik'!B35)*'6. Quellen &amp; Methodik'!B34,0))</x:f>
        <x:v>0</x:v>
      </x:c>
      <x:c r="F52" s="55" t="n">
        <x:f>IF(A52=1,'6. Quellen &amp; Methodik'!B16+MIN(C52,50)*'6. Quellen &amp; Methodik'!B17+MAX(MIN(C52-50,200),0)*'6. Quellen &amp; Methodik'!B18+MAX(MIN(C52-250,750),0)*'6. Quellen &amp; Methodik'!B19+MAX(C52-1000,0)*'6. Quellen &amp; Methodik'!B20,0)</x:f>
        <x:v>0</x:v>
      </x:c>
      <x:c r="G52" s="55" t="n">
        <x:f>IF(OR(A52=1,A52=13,A52=25),'6. Quellen &amp; Methodik'!B36*(C52*'1. Eingaben'!B10*12+E52+F52),0)</x:f>
        <x:v>0</x:v>
      </x:c>
      <x:c r="H52" s="55" t="n">
        <x:f>SUM(D52:G52)</x:f>
        <x:v>7800</x:v>
      </x:c>
      <x:c r="I52" s="54" t="n">
        <x:f>'4. Szenarien'!B6*(1-(1-'4. Szenarien'!B13)*POWER(0.5,(A52-1)/'4. Szenarien'!B14))</x:f>
        <x:v>7.999609375</x:v>
      </x:c>
      <x:c r="J52" s="54" t="n">
        <x:f>'4. Szenarien'!B7*(1-(1-'4. Szenarien'!B13)*POWER(0.5,(A52-1)/'4. Szenarien'!B14))</x:f>
        <x:v>8.999560546875001</x:v>
      </x:c>
      <x:c r="K52" s="55" t="n">
        <x:f>C52*I52*'4. Szenarien'!D6*'1. Eingaben'!B9</x:f>
        <x:v>59997.0703125</x:v>
      </x:c>
      <x:c r="L52" s="55" t="n">
        <x:f>C52*J52*'4. Szenarien'!D7*'1. Eingaben'!B9</x:f>
        <x:v>67496.70410156251</x:v>
      </x:c>
      <x:c r="M52" s="55" t="n">
        <x:f>M51+K52-H52</x:f>
        <x:v>983529.9473943417</x:v>
      </x:c>
      <x:c r="N52" s="55" t="n">
        <x:f>N51+L52-H52</x:f>
        <x:v>1175788.1908186343</x:v>
      </x:c>
      <x:c r="O52" s="68" t="n">
        <x:f>IF(M52&gt;=0,A52,99)</x:f>
        <x:v>27</x:v>
      </x:c>
      <x:c r="P52" s="68" t="n">
        <x:f>IF(N52&gt;=0,A52,99)</x:f>
        <x:v>27</x:v>
      </x:c>
    </x:row>
    <x:row r="53">
      <x:c r="A53" s="66" t="n">
        <x:v>28</x:v>
      </x:c>
      <x:c r="B53" s="66" t="n">
        <x:f>INT((A53-1)/12)+1</x:f>
        <x:v>3</x:v>
      </x:c>
      <x:c r="C53" s="66" t="n">
        <x:f>'1. Eingaben'!B8</x:f>
        <x:v>300</x:v>
      </x:c>
      <x:c r="D53" s="55" t="n">
        <x:f>C53*'1. Eingaben'!B10</x:f>
        <x:v>7800</x:v>
      </x:c>
      <x:c r="E53" s="55" t="n">
        <x:f>IF(A53=1,INT(('1. Eingaben'!B8+'6. Quellen &amp; Methodik'!B33-1)/'6. Quellen &amp; Methodik'!B33)*('6. Quellen &amp; Methodik'!B31+'6. Quellen &amp; Methodik'!B32*'6. Quellen &amp; Methodik'!B35),IF(OR(A53=13,A53=25),INT(('1. Eingaben'!B8+'6. Quellen &amp; Methodik'!B33-1)/'6. Quellen &amp; Methodik'!B33)*('6. Quellen &amp; Methodik'!B31+'6. Quellen &amp; Methodik'!B32*'6. Quellen &amp; Methodik'!B35)*'6. Quellen &amp; Methodik'!B34,0))</x:f>
        <x:v>0</x:v>
      </x:c>
      <x:c r="F53" s="55" t="n">
        <x:f>IF(A53=1,'6. Quellen &amp; Methodik'!B16+MIN(C53,50)*'6. Quellen &amp; Methodik'!B17+MAX(MIN(C53-50,200),0)*'6. Quellen &amp; Methodik'!B18+MAX(MIN(C53-250,750),0)*'6. Quellen &amp; Methodik'!B19+MAX(C53-1000,0)*'6. Quellen &amp; Methodik'!B20,0)</x:f>
        <x:v>0</x:v>
      </x:c>
      <x:c r="G53" s="55" t="n">
        <x:f>IF(OR(A53=1,A53=13,A53=25),'6. Quellen &amp; Methodik'!B36*(C53*'1. Eingaben'!B10*12+E53+F53),0)</x:f>
        <x:v>0</x:v>
      </x:c>
      <x:c r="H53" s="55" t="n">
        <x:f>SUM(D53:G53)</x:f>
        <x:v>7800</x:v>
      </x:c>
      <x:c r="I53" s="54" t="n">
        <x:f>'4. Szenarien'!B6*(1-(1-'4. Szenarien'!B13)*POWER(0.5,(A53-1)/'4. Szenarien'!B14))</x:f>
        <x:v>7.999723786413599</x:v>
      </x:c>
      <x:c r="J53" s="54" t="n">
        <x:f>'4. Szenarien'!B7*(1-(1-'4. Szenarien'!B13)*POWER(0.5,(A53-1)/'4. Szenarien'!B14))</x:f>
        <x:v>8.999689259715298</x:v>
      </x:c>
      <x:c r="K53" s="55" t="n">
        <x:f>C53*I53*'4. Szenarien'!D6*'1. Eingaben'!B9</x:f>
        <x:v>59997.92839810199</x:v>
      </x:c>
      <x:c r="L53" s="55" t="n">
        <x:f>C53*J53*'4. Szenarien'!D7*'1. Eingaben'!B9</x:f>
        <x:v>67497.66944786474</x:v>
      </x:c>
      <x:c r="M53" s="55" t="n">
        <x:f>M52+K53-H53</x:f>
        <x:v>1035727.8757924436</x:v>
      </x:c>
      <x:c r="N53" s="55" t="n">
        <x:f>N52+L53-H53</x:f>
        <x:v>1235485.860266499</x:v>
      </x:c>
      <x:c r="O53" s="68" t="n">
        <x:f>IF(M53&gt;=0,A53,99)</x:f>
        <x:v>28</x:v>
      </x:c>
      <x:c r="P53" s="68" t="n">
        <x:f>IF(N53&gt;=0,A53,99)</x:f>
        <x:v>28</x:v>
      </x:c>
    </x:row>
    <x:row r="54">
      <x:c r="A54" s="66" t="n">
        <x:v>29</x:v>
      </x:c>
      <x:c r="B54" s="66" t="n">
        <x:f>INT((A54-1)/12)+1</x:f>
        <x:v>3</x:v>
      </x:c>
      <x:c r="C54" s="66" t="n">
        <x:f>'1. Eingaben'!B8</x:f>
        <x:v>300</x:v>
      </x:c>
      <x:c r="D54" s="55" t="n">
        <x:f>C54*'1. Eingaben'!B10</x:f>
        <x:v>7800</x:v>
      </x:c>
      <x:c r="E54" s="55" t="n">
        <x:f>IF(A54=1,INT(('1. Eingaben'!B8+'6. Quellen &amp; Methodik'!B33-1)/'6. Quellen &amp; Methodik'!B33)*('6. Quellen &amp; Methodik'!B31+'6. Quellen &amp; Methodik'!B32*'6. Quellen &amp; Methodik'!B35),IF(OR(A54=13,A54=25),INT(('1. Eingaben'!B8+'6. Quellen &amp; Methodik'!B33-1)/'6. Quellen &amp; Methodik'!B33)*('6. Quellen &amp; Methodik'!B31+'6. Quellen &amp; Methodik'!B32*'6. Quellen &amp; Methodik'!B35)*'6. Quellen &amp; Methodik'!B34,0))</x:f>
        <x:v>0</x:v>
      </x:c>
      <x:c r="F54" s="55" t="n">
        <x:f>IF(A54=1,'6. Quellen &amp; Methodik'!B16+MIN(C54,50)*'6. Quellen &amp; Methodik'!B17+MAX(MIN(C54-50,200),0)*'6. Quellen &amp; Methodik'!B18+MAX(MIN(C54-250,750),0)*'6. Quellen &amp; Methodik'!B19+MAX(C54-1000,0)*'6. Quellen &amp; Methodik'!B20,0)</x:f>
        <x:v>0</x:v>
      </x:c>
      <x:c r="G54" s="55" t="n">
        <x:f>IF(OR(A54=1,A54=13,A54=25),'6. Quellen &amp; Methodik'!B36*(C54*'1. Eingaben'!B10*12+E54+F54),0)</x:f>
        <x:v>0</x:v>
      </x:c>
      <x:c r="H54" s="55" t="n">
        <x:f>SUM(D54:G54)</x:f>
        <x:v>7800</x:v>
      </x:c>
      <x:c r="I54" s="54" t="n">
        <x:f>'4. Szenarien'!B6*(1-(1-'4. Szenarien'!B13)*POWER(0.5,(A54-1)/'4. Szenarien'!B14))</x:f>
        <x:v>7.9998046875</x:v>
      </x:c>
      <x:c r="J54" s="54" t="n">
        <x:f>'4. Szenarien'!B7*(1-(1-'4. Szenarien'!B13)*POWER(0.5,(A54-1)/'4. Szenarien'!B14))</x:f>
        <x:v>8.9997802734375</x:v>
      </x:c>
      <x:c r="K54" s="55" t="n">
        <x:f>C54*I54*'4. Szenarien'!D6*'1. Eingaben'!B9</x:f>
        <x:v>59998.53515625</x:v>
      </x:c>
      <x:c r="L54" s="55" t="n">
        <x:f>C54*J54*'4. Szenarien'!D7*'1. Eingaben'!B9</x:f>
        <x:v>67498.35205078125</x:v>
      </x:c>
      <x:c r="M54" s="55" t="n">
        <x:f>M53+K54-H54</x:f>
        <x:v>1087926.4109486938</x:v>
      </x:c>
      <x:c r="N54" s="55" t="n">
        <x:f>N53+L54-H54</x:f>
        <x:v>1295184.2123172802</x:v>
      </x:c>
      <x:c r="O54" s="68" t="n">
        <x:f>IF(M54&gt;=0,A54,99)</x:f>
        <x:v>29</x:v>
      </x:c>
      <x:c r="P54" s="68" t="n">
        <x:f>IF(N54&gt;=0,A54,99)</x:f>
        <x:v>29</x:v>
      </x:c>
    </x:row>
    <x:row r="55">
      <x:c r="A55" s="66" t="n">
        <x:v>30</x:v>
      </x:c>
      <x:c r="B55" s="66" t="n">
        <x:f>INT((A55-1)/12)+1</x:f>
        <x:v>3</x:v>
      </x:c>
      <x:c r="C55" s="66" t="n">
        <x:f>'1. Eingaben'!B8</x:f>
        <x:v>300</x:v>
      </x:c>
      <x:c r="D55" s="55" t="n">
        <x:f>C55*'1. Eingaben'!B10</x:f>
        <x:v>7800</x:v>
      </x:c>
      <x:c r="E55" s="55" t="n">
        <x:f>IF(A55=1,INT(('1. Eingaben'!B8+'6. Quellen &amp; Methodik'!B33-1)/'6. Quellen &amp; Methodik'!B33)*('6. Quellen &amp; Methodik'!B31+'6. Quellen &amp; Methodik'!B32*'6. Quellen &amp; Methodik'!B35),IF(OR(A55=13,A55=25),INT(('1. Eingaben'!B8+'6. Quellen &amp; Methodik'!B33-1)/'6. Quellen &amp; Methodik'!B33)*('6. Quellen &amp; Methodik'!B31+'6. Quellen &amp; Methodik'!B32*'6. Quellen &amp; Methodik'!B35)*'6. Quellen &amp; Methodik'!B34,0))</x:f>
        <x:v>0</x:v>
      </x:c>
      <x:c r="F55" s="55" t="n">
        <x:f>IF(A55=1,'6. Quellen &amp; Methodik'!B16+MIN(C55,50)*'6. Quellen &amp; Methodik'!B17+MAX(MIN(C55-50,200),0)*'6. Quellen &amp; Methodik'!B18+MAX(MIN(C55-250,750),0)*'6. Quellen &amp; Methodik'!B19+MAX(C55-1000,0)*'6. Quellen &amp; Methodik'!B20,0)</x:f>
        <x:v>0</x:v>
      </x:c>
      <x:c r="G55" s="55" t="n">
        <x:f>IF(OR(A55=1,A55=13,A55=25),'6. Quellen &amp; Methodik'!B36*(C55*'1. Eingaben'!B10*12+E55+F55),0)</x:f>
        <x:v>0</x:v>
      </x:c>
      <x:c r="H55" s="55" t="n">
        <x:f>SUM(D55:G55)</x:f>
        <x:v>7800</x:v>
      </x:c>
      <x:c r="I55" s="54" t="n">
        <x:f>'4. Szenarien'!B6*(1-(1-'4. Szenarien'!B13)*POWER(0.5,(A55-1)/'4. Szenarien'!B14))</x:f>
        <x:v>7.999861893206799</x:v>
      </x:c>
      <x:c r="J55" s="54" t="n">
        <x:f>'4. Szenarien'!B7*(1-(1-'4. Szenarien'!B13)*POWER(0.5,(A55-1)/'4. Szenarien'!B14))</x:f>
        <x:v>8.99984462985765</x:v>
      </x:c>
      <x:c r="K55" s="55" t="n">
        <x:f>C55*I55*'4. Szenarien'!D6*'1. Eingaben'!B9</x:f>
        <x:v>59998.964199051</x:v>
      </x:c>
      <x:c r="L55" s="55" t="n">
        <x:f>C55*J55*'4. Szenarien'!D7*'1. Eingaben'!B9</x:f>
        <x:v>67498.83472393238</x:v>
      </x:c>
      <x:c r="M55" s="55" t="n">
        <x:f>M54+K55-H55</x:f>
        <x:v>1140125.3751477448</x:v>
      </x:c>
      <x:c r="N55" s="55" t="n">
        <x:f>N54+L55-H55</x:f>
        <x:v>1354883.0470412127</x:v>
      </x:c>
      <x:c r="O55" s="68" t="n">
        <x:f>IF(M55&gt;=0,A55,99)</x:f>
        <x:v>30</x:v>
      </x:c>
      <x:c r="P55" s="68" t="n">
        <x:f>IF(N55&gt;=0,A55,99)</x:f>
        <x:v>30</x:v>
      </x:c>
    </x:row>
    <x:row r="56">
      <x:c r="A56" s="66" t="n">
        <x:v>31</x:v>
      </x:c>
      <x:c r="B56" s="66" t="n">
        <x:f>INT((A56-1)/12)+1</x:f>
        <x:v>3</x:v>
      </x:c>
      <x:c r="C56" s="66" t="n">
        <x:f>'1. Eingaben'!B8</x:f>
        <x:v>300</x:v>
      </x:c>
      <x:c r="D56" s="55" t="n">
        <x:f>C56*'1. Eingaben'!B10</x:f>
        <x:v>7800</x:v>
      </x:c>
      <x:c r="E56" s="55" t="n">
        <x:f>IF(A56=1,INT(('1. Eingaben'!B8+'6. Quellen &amp; Methodik'!B33-1)/'6. Quellen &amp; Methodik'!B33)*('6. Quellen &amp; Methodik'!B31+'6. Quellen &amp; Methodik'!B32*'6. Quellen &amp; Methodik'!B35),IF(OR(A56=13,A56=25),INT(('1. Eingaben'!B8+'6. Quellen &amp; Methodik'!B33-1)/'6. Quellen &amp; Methodik'!B33)*('6. Quellen &amp; Methodik'!B31+'6. Quellen &amp; Methodik'!B32*'6. Quellen &amp; Methodik'!B35)*'6. Quellen &amp; Methodik'!B34,0))</x:f>
        <x:v>0</x:v>
      </x:c>
      <x:c r="F56" s="55" t="n">
        <x:f>IF(A56=1,'6. Quellen &amp; Methodik'!B16+MIN(C56,50)*'6. Quellen &amp; Methodik'!B17+MAX(MIN(C56-50,200),0)*'6. Quellen &amp; Methodik'!B18+MAX(MIN(C56-250,750),0)*'6. Quellen &amp; Methodik'!B19+MAX(C56-1000,0)*'6. Quellen &amp; Methodik'!B20,0)</x:f>
        <x:v>0</x:v>
      </x:c>
      <x:c r="G56" s="55" t="n">
        <x:f>IF(OR(A56=1,A56=13,A56=25),'6. Quellen &amp; Methodik'!B36*(C56*'1. Eingaben'!B10*12+E56+F56),0)</x:f>
        <x:v>0</x:v>
      </x:c>
      <x:c r="H56" s="55" t="n">
        <x:f>SUM(D56:G56)</x:f>
        <x:v>7800</x:v>
      </x:c>
      <x:c r="I56" s="54" t="n">
        <x:f>'4. Szenarien'!B6*(1-(1-'4. Szenarien'!B13)*POWER(0.5,(A56-1)/'4. Szenarien'!B14))</x:f>
        <x:v>7.99990234375</x:v>
      </x:c>
      <x:c r="J56" s="54" t="n">
        <x:f>'4. Szenarien'!B7*(1-(1-'4. Szenarien'!B13)*POWER(0.5,(A56-1)/'4. Szenarien'!B14))</x:f>
        <x:v>8.999890136718749</x:v>
      </x:c>
      <x:c r="K56" s="55" t="n">
        <x:f>C56*I56*'4. Szenarien'!D6*'1. Eingaben'!B9</x:f>
        <x:v>59999.267578125</x:v>
      </x:c>
      <x:c r="L56" s="55" t="n">
        <x:f>C56*J56*'4. Szenarien'!D7*'1. Eingaben'!B9</x:f>
        <x:v>67499.17602539061</x:v>
      </x:c>
      <x:c r="M56" s="55" t="n">
        <x:f>M55+K56-H56</x:f>
        <x:v>1192324.6427258698</x:v>
      </x:c>
      <x:c r="N56" s="55" t="n">
        <x:f>N55+L56-H56</x:f>
        <x:v>1414582.2230666033</x:v>
      </x:c>
      <x:c r="O56" s="68" t="n">
        <x:f>IF(M56&gt;=0,A56,99)</x:f>
        <x:v>31</x:v>
      </x:c>
      <x:c r="P56" s="68" t="n">
        <x:f>IF(N56&gt;=0,A56,99)</x:f>
        <x:v>31</x:v>
      </x:c>
    </x:row>
    <x:row r="57">
      <x:c r="A57" s="66" t="n">
        <x:v>32</x:v>
      </x:c>
      <x:c r="B57" s="66" t="n">
        <x:f>INT((A57-1)/12)+1</x:f>
        <x:v>3</x:v>
      </x:c>
      <x:c r="C57" s="66" t="n">
        <x:f>'1. Eingaben'!B8</x:f>
        <x:v>300</x:v>
      </x:c>
      <x:c r="D57" s="55" t="n">
        <x:f>C57*'1. Eingaben'!B10</x:f>
        <x:v>7800</x:v>
      </x:c>
      <x:c r="E57" s="55" t="n">
        <x:f>IF(A57=1,INT(('1. Eingaben'!B8+'6. Quellen &amp; Methodik'!B33-1)/'6. Quellen &amp; Methodik'!B33)*('6. Quellen &amp; Methodik'!B31+'6. Quellen &amp; Methodik'!B32*'6. Quellen &amp; Methodik'!B35),IF(OR(A57=13,A57=25),INT(('1. Eingaben'!B8+'6. Quellen &amp; Methodik'!B33-1)/'6. Quellen &amp; Methodik'!B33)*('6. Quellen &amp; Methodik'!B31+'6. Quellen &amp; Methodik'!B32*'6. Quellen &amp; Methodik'!B35)*'6. Quellen &amp; Methodik'!B34,0))</x:f>
        <x:v>0</x:v>
      </x:c>
      <x:c r="F57" s="55" t="n">
        <x:f>IF(A57=1,'6. Quellen &amp; Methodik'!B16+MIN(C57,50)*'6. Quellen &amp; Methodik'!B17+MAX(MIN(C57-50,200),0)*'6. Quellen &amp; Methodik'!B18+MAX(MIN(C57-250,750),0)*'6. Quellen &amp; Methodik'!B19+MAX(C57-1000,0)*'6. Quellen &amp; Methodik'!B20,0)</x:f>
        <x:v>0</x:v>
      </x:c>
      <x:c r="G57" s="55" t="n">
        <x:f>IF(OR(A57=1,A57=13,A57=25),'6. Quellen &amp; Methodik'!B36*(C57*'1. Eingaben'!B10*12+E57+F57),0)</x:f>
        <x:v>0</x:v>
      </x:c>
      <x:c r="H57" s="55" t="n">
        <x:f>SUM(D57:G57)</x:f>
        <x:v>7800</x:v>
      </x:c>
      <x:c r="I57" s="54" t="n">
        <x:f>'4. Szenarien'!B6*(1-(1-'4. Szenarien'!B13)*POWER(0.5,(A57-1)/'4. Szenarien'!B14))</x:f>
        <x:v>7.9999309466034</x:v>
      </x:c>
      <x:c r="J57" s="54" t="n">
        <x:f>'4. Szenarien'!B7*(1-(1-'4. Szenarien'!B13)*POWER(0.5,(A57-1)/'4. Szenarien'!B14))</x:f>
        <x:v>8.999922314928826</x:v>
      </x:c>
      <x:c r="K57" s="55" t="n">
        <x:f>C57*I57*'4. Szenarien'!D6*'1. Eingaben'!B9</x:f>
        <x:v>59999.48209952551</x:v>
      </x:c>
      <x:c r="L57" s="55" t="n">
        <x:f>C57*J57*'4. Szenarien'!D7*'1. Eingaben'!B9</x:f>
        <x:v>67499.4173619662</x:v>
      </x:c>
      <x:c r="M57" s="55" t="n">
        <x:f>M56+K57-H57</x:f>
        <x:v>1244524.1248253952</x:v>
      </x:c>
      <x:c r="N57" s="55" t="n">
        <x:f>N56+L57-H57</x:f>
        <x:v>1474281.6404285694</x:v>
      </x:c>
      <x:c r="O57" s="68" t="n">
        <x:f>IF(M57&gt;=0,A57,99)</x:f>
        <x:v>32</x:v>
      </x:c>
      <x:c r="P57" s="68" t="n">
        <x:f>IF(N57&gt;=0,A57,99)</x:f>
        <x:v>32</x:v>
      </x:c>
    </x:row>
    <x:row r="58">
      <x:c r="A58" s="66" t="n">
        <x:v>33</x:v>
      </x:c>
      <x:c r="B58" s="66" t="n">
        <x:f>INT((A58-1)/12)+1</x:f>
        <x:v>3</x:v>
      </x:c>
      <x:c r="C58" s="66" t="n">
        <x:f>'1. Eingaben'!B8</x:f>
        <x:v>300</x:v>
      </x:c>
      <x:c r="D58" s="55" t="n">
        <x:f>C58*'1. Eingaben'!B10</x:f>
        <x:v>7800</x:v>
      </x:c>
      <x:c r="E58" s="55" t="n">
        <x:f>IF(A58=1,INT(('1. Eingaben'!B8+'6. Quellen &amp; Methodik'!B33-1)/'6. Quellen &amp; Methodik'!B33)*('6. Quellen &amp; Methodik'!B31+'6. Quellen &amp; Methodik'!B32*'6. Quellen &amp; Methodik'!B35),IF(OR(A58=13,A58=25),INT(('1. Eingaben'!B8+'6. Quellen &amp; Methodik'!B33-1)/'6. Quellen &amp; Methodik'!B33)*('6. Quellen &amp; Methodik'!B31+'6. Quellen &amp; Methodik'!B32*'6. Quellen &amp; Methodik'!B35)*'6. Quellen &amp; Methodik'!B34,0))</x:f>
        <x:v>0</x:v>
      </x:c>
      <x:c r="F58" s="55" t="n">
        <x:f>IF(A58=1,'6. Quellen &amp; Methodik'!B16+MIN(C58,50)*'6. Quellen &amp; Methodik'!B17+MAX(MIN(C58-50,200),0)*'6. Quellen &amp; Methodik'!B18+MAX(MIN(C58-250,750),0)*'6. Quellen &amp; Methodik'!B19+MAX(C58-1000,0)*'6. Quellen &amp; Methodik'!B20,0)</x:f>
        <x:v>0</x:v>
      </x:c>
      <x:c r="G58" s="55" t="n">
        <x:f>IF(OR(A58=1,A58=13,A58=25),'6. Quellen &amp; Methodik'!B36*(C58*'1. Eingaben'!B10*12+E58+F58),0)</x:f>
        <x:v>0</x:v>
      </x:c>
      <x:c r="H58" s="55" t="n">
        <x:f>SUM(D58:G58)</x:f>
        <x:v>7800</x:v>
      </x:c>
      <x:c r="I58" s="54" t="n">
        <x:f>'4. Szenarien'!B6*(1-(1-'4. Szenarien'!B13)*POWER(0.5,(A58-1)/'4. Szenarien'!B14))</x:f>
        <x:v>7.999951171875</x:v>
      </x:c>
      <x:c r="J58" s="54" t="n">
        <x:f>'4. Szenarien'!B7*(1-(1-'4. Szenarien'!B13)*POWER(0.5,(A58-1)/'4. Szenarien'!B14))</x:f>
        <x:v>8.999945068359375</x:v>
      </x:c>
      <x:c r="K58" s="55" t="n">
        <x:f>C58*I58*'4. Szenarien'!D6*'1. Eingaben'!B9</x:f>
        <x:v>59999.6337890625</x:v>
      </x:c>
      <x:c r="L58" s="55" t="n">
        <x:f>C58*J58*'4. Szenarien'!D7*'1. Eingaben'!B9</x:f>
        <x:v>67499.58801269531</x:v>
      </x:c>
      <x:c r="M58" s="55" t="n">
        <x:f>M57+K58-H58</x:f>
        <x:v>1296723.7586144577</x:v>
      </x:c>
      <x:c r="N58" s="55" t="n">
        <x:f>N57+L58-H58</x:f>
        <x:v>1533981.2284412647</x:v>
      </x:c>
      <x:c r="O58" s="68" t="n">
        <x:f>IF(M58&gt;=0,A58,99)</x:f>
        <x:v>33</x:v>
      </x:c>
      <x:c r="P58" s="68" t="n">
        <x:f>IF(N58&gt;=0,A58,99)</x:f>
        <x:v>33</x:v>
      </x:c>
    </x:row>
    <x:row r="59">
      <x:c r="A59" s="66" t="n">
        <x:v>34</x:v>
      </x:c>
      <x:c r="B59" s="66" t="n">
        <x:f>INT((A59-1)/12)+1</x:f>
        <x:v>3</x:v>
      </x:c>
      <x:c r="C59" s="66" t="n">
        <x:f>'1. Eingaben'!B8</x:f>
        <x:v>300</x:v>
      </x:c>
      <x:c r="D59" s="55" t="n">
        <x:f>C59*'1. Eingaben'!B10</x:f>
        <x:v>7800</x:v>
      </x:c>
      <x:c r="E59" s="55" t="n">
        <x:f>IF(A59=1,INT(('1. Eingaben'!B8+'6. Quellen &amp; Methodik'!B33-1)/'6. Quellen &amp; Methodik'!B33)*('6. Quellen &amp; Methodik'!B31+'6. Quellen &amp; Methodik'!B32*'6. Quellen &amp; Methodik'!B35),IF(OR(A59=13,A59=25),INT(('1. Eingaben'!B8+'6. Quellen &amp; Methodik'!B33-1)/'6. Quellen &amp; Methodik'!B33)*('6. Quellen &amp; Methodik'!B31+'6. Quellen &amp; Methodik'!B32*'6. Quellen &amp; Methodik'!B35)*'6. Quellen &amp; Methodik'!B34,0))</x:f>
        <x:v>0</x:v>
      </x:c>
      <x:c r="F59" s="55" t="n">
        <x:f>IF(A59=1,'6. Quellen &amp; Methodik'!B16+MIN(C59,50)*'6. Quellen &amp; Methodik'!B17+MAX(MIN(C59-50,200),0)*'6. Quellen &amp; Methodik'!B18+MAX(MIN(C59-250,750),0)*'6. Quellen &amp; Methodik'!B19+MAX(C59-1000,0)*'6. Quellen &amp; Methodik'!B20,0)</x:f>
        <x:v>0</x:v>
      </x:c>
      <x:c r="G59" s="55" t="n">
        <x:f>IF(OR(A59=1,A59=13,A59=25),'6. Quellen &amp; Methodik'!B36*(C59*'1. Eingaben'!B10*12+E59+F59),0)</x:f>
        <x:v>0</x:v>
      </x:c>
      <x:c r="H59" s="55" t="n">
        <x:f>SUM(D59:G59)</x:f>
        <x:v>7800</x:v>
      </x:c>
      <x:c r="I59" s="54" t="n">
        <x:f>'4. Szenarien'!B6*(1-(1-'4. Szenarien'!B13)*POWER(0.5,(A59-1)/'4. Szenarien'!B14))</x:f>
        <x:v>7.9999654733017</x:v>
      </x:c>
      <x:c r="J59" s="54" t="n">
        <x:f>'4. Szenarien'!B7*(1-(1-'4. Szenarien'!B13)*POWER(0.5,(A59-1)/'4. Szenarien'!B14))</x:f>
        <x:v>8.999961157464412</x:v>
      </x:c>
      <x:c r="K59" s="55" t="n">
        <x:f>C59*I59*'4. Szenarien'!D6*'1. Eingaben'!B9</x:f>
        <x:v>59999.74104976275</x:v>
      </x:c>
      <x:c r="L59" s="55" t="n">
        <x:f>C59*J59*'4. Szenarien'!D7*'1. Eingaben'!B9</x:f>
        <x:v>67499.7086809831</x:v>
      </x:c>
      <x:c r="M59" s="55" t="n">
        <x:f>M58+K59-H59</x:f>
        <x:v>1348923.4996642205</x:v>
      </x:c>
      <x:c r="N59" s="55" t="n">
        <x:f>N58+L59-H59</x:f>
        <x:v>1593680.9371222479</x:v>
      </x:c>
      <x:c r="O59" s="68" t="n">
        <x:f>IF(M59&gt;=0,A59,99)</x:f>
        <x:v>34</x:v>
      </x:c>
      <x:c r="P59" s="68" t="n">
        <x:f>IF(N59&gt;=0,A59,99)</x:f>
        <x:v>34</x:v>
      </x:c>
    </x:row>
    <x:row r="60">
      <x:c r="A60" s="66" t="n">
        <x:v>35</x:v>
      </x:c>
      <x:c r="B60" s="66" t="n">
        <x:f>INT((A60-1)/12)+1</x:f>
        <x:v>3</x:v>
      </x:c>
      <x:c r="C60" s="66" t="n">
        <x:f>'1. Eingaben'!B8</x:f>
        <x:v>300</x:v>
      </x:c>
      <x:c r="D60" s="55" t="n">
        <x:f>C60*'1. Eingaben'!B10</x:f>
        <x:v>7800</x:v>
      </x:c>
      <x:c r="E60" s="55" t="n">
        <x:f>IF(A60=1,INT(('1. Eingaben'!B8+'6. Quellen &amp; Methodik'!B33-1)/'6. Quellen &amp; Methodik'!B33)*('6. Quellen &amp; Methodik'!B31+'6. Quellen &amp; Methodik'!B32*'6. Quellen &amp; Methodik'!B35),IF(OR(A60=13,A60=25),INT(('1. Eingaben'!B8+'6. Quellen &amp; Methodik'!B33-1)/'6. Quellen &amp; Methodik'!B33)*('6. Quellen &amp; Methodik'!B31+'6. Quellen &amp; Methodik'!B32*'6. Quellen &amp; Methodik'!B35)*'6. Quellen &amp; Methodik'!B34,0))</x:f>
        <x:v>0</x:v>
      </x:c>
      <x:c r="F60" s="55" t="n">
        <x:f>IF(A60=1,'6. Quellen &amp; Methodik'!B16+MIN(C60,50)*'6. Quellen &amp; Methodik'!B17+MAX(MIN(C60-50,200),0)*'6. Quellen &amp; Methodik'!B18+MAX(MIN(C60-250,750),0)*'6. Quellen &amp; Methodik'!B19+MAX(C60-1000,0)*'6. Quellen &amp; Methodik'!B20,0)</x:f>
        <x:v>0</x:v>
      </x:c>
      <x:c r="G60" s="55" t="n">
        <x:f>IF(OR(A60=1,A60=13,A60=25),'6. Quellen &amp; Methodik'!B36*(C60*'1. Eingaben'!B10*12+E60+F60),0)</x:f>
        <x:v>0</x:v>
      </x:c>
      <x:c r="H60" s="55" t="n">
        <x:f>SUM(D60:G60)</x:f>
        <x:v>7800</x:v>
      </x:c>
      <x:c r="I60" s="54" t="n">
        <x:f>'4. Szenarien'!B6*(1-(1-'4. Szenarien'!B13)*POWER(0.5,(A60-1)/'4. Szenarien'!B14))</x:f>
        <x:v>7.9999755859375</x:v>
      </x:c>
      <x:c r="J60" s="54" t="n">
        <x:f>'4. Szenarien'!B7*(1-(1-'4. Szenarien'!B13)*POWER(0.5,(A60-1)/'4. Szenarien'!B14))</x:f>
        <x:v>8.999972534179689</x:v>
      </x:c>
      <x:c r="K60" s="55" t="n">
        <x:f>C60*I60*'4. Szenarien'!D6*'1. Eingaben'!B9</x:f>
        <x:v>59999.81689453125</x:v>
      </x:c>
      <x:c r="L60" s="55" t="n">
        <x:f>C60*J60*'4. Szenarien'!D7*'1. Eingaben'!B9</x:f>
        <x:v>67499.79400634767</x:v>
      </x:c>
      <x:c r="M60" s="55" t="n">
        <x:f>M59+K60-H60</x:f>
        <x:v>1401123.3165587517</x:v>
      </x:c>
      <x:c r="N60" s="55" t="n">
        <x:f>N59+L60-H60</x:f>
        <x:v>1653380.7311285955</x:v>
      </x:c>
      <x:c r="O60" s="68" t="n">
        <x:f>IF(M60&gt;=0,A60,99)</x:f>
        <x:v>35</x:v>
      </x:c>
      <x:c r="P60" s="68" t="n">
        <x:f>IF(N60&gt;=0,A60,99)</x:f>
        <x:v>35</x:v>
      </x:c>
    </x:row>
    <x:row r="61">
      <x:c r="A61" s="66" t="n">
        <x:v>36</x:v>
      </x:c>
      <x:c r="B61" s="66" t="n">
        <x:f>INT((A61-1)/12)+1</x:f>
        <x:v>3</x:v>
      </x:c>
      <x:c r="C61" s="66" t="n">
        <x:f>'1. Eingaben'!B8</x:f>
        <x:v>300</x:v>
      </x:c>
      <x:c r="D61" s="55" t="n">
        <x:f>C61*'1. Eingaben'!B10</x:f>
        <x:v>7800</x:v>
      </x:c>
      <x:c r="E61" s="55" t="n">
        <x:f>IF(A61=1,INT(('1. Eingaben'!B8+'6. Quellen &amp; Methodik'!B33-1)/'6. Quellen &amp; Methodik'!B33)*('6. Quellen &amp; Methodik'!B31+'6. Quellen &amp; Methodik'!B32*'6. Quellen &amp; Methodik'!B35),IF(OR(A61=13,A61=25),INT(('1. Eingaben'!B8+'6. Quellen &amp; Methodik'!B33-1)/'6. Quellen &amp; Methodik'!B33)*('6. Quellen &amp; Methodik'!B31+'6. Quellen &amp; Methodik'!B32*'6. Quellen &amp; Methodik'!B35)*'6. Quellen &amp; Methodik'!B34,0))</x:f>
        <x:v>0</x:v>
      </x:c>
      <x:c r="F61" s="55" t="n">
        <x:f>IF(A61=1,'6. Quellen &amp; Methodik'!B16+MIN(C61,50)*'6. Quellen &amp; Methodik'!B17+MAX(MIN(C61-50,200),0)*'6. Quellen &amp; Methodik'!B18+MAX(MIN(C61-250,750),0)*'6. Quellen &amp; Methodik'!B19+MAX(C61-1000,0)*'6. Quellen &amp; Methodik'!B20,0)</x:f>
        <x:v>0</x:v>
      </x:c>
      <x:c r="G61" s="55" t="n">
        <x:f>IF(OR(A61=1,A61=13,A61=25),'6. Quellen &amp; Methodik'!B36*(C61*'1. Eingaben'!B10*12+E61+F61),0)</x:f>
        <x:v>0</x:v>
      </x:c>
      <x:c r="H61" s="55" t="n">
        <x:f>SUM(D61:G61)</x:f>
        <x:v>7800</x:v>
      </x:c>
      <x:c r="I61" s="54" t="n">
        <x:f>'4. Szenarien'!B6*(1-(1-'4. Szenarien'!B13)*POWER(0.5,(A61-1)/'4. Szenarien'!B14))</x:f>
        <x:v>7.99998273665085</x:v>
      </x:c>
      <x:c r="J61" s="54" t="n">
        <x:f>'4. Szenarien'!B7*(1-(1-'4. Szenarien'!B13)*POWER(0.5,(A61-1)/'4. Szenarien'!B14))</x:f>
        <x:v>8.999980578732206</x:v>
      </x:c>
      <x:c r="K61" s="55" t="n">
        <x:f>C61*I61*'4. Szenarien'!D6*'1. Eingaben'!B9</x:f>
        <x:v>59999.87052488137</x:v>
      </x:c>
      <x:c r="L61" s="55" t="n">
        <x:f>C61*J61*'4. Szenarien'!D7*'1. Eingaben'!B9</x:f>
        <x:v>67499.85434049155</x:v>
      </x:c>
      <x:c r="M61" s="55" t="n">
        <x:f>M60+K61-H61</x:f>
        <x:v>1453323.1870836332</x:v>
      </x:c>
      <x:c r="N61" s="55" t="n">
        <x:f>N60+L61-H61</x:f>
        <x:v>1713080.5854690871</x:v>
      </x:c>
      <x:c r="O61" s="68" t="n">
        <x:f>IF(M61&gt;=0,A61,99)</x:f>
        <x:v>36</x:v>
      </x:c>
      <x:c r="P61" s="68" t="n">
        <x:f>IF(N61&gt;=0,A61,99)</x:f>
        <x:v>36</x:v>
      </x:c>
    </x:row>
  </x:sheetData>
  <x:sheetProtection sheet="1" objects="1" scenarios="1" formatCells="1" formatColumns="1" formatRows="1" insertColumns="1" insertRows="1" insertHyperlinks="1" deleteColumns="1" deleteRows="1" sort="1" autoFilter="1" pivotTables="1"/>
  <x:mergeCells>
    <x:mergeCell ref="A1:P1"/>
    <x:mergeCell ref="A17:H17"/>
    <x:mergeCell ref="A24:N24"/>
  </x:mergeCells>
  <x:conditionalFormatting sqref="B11:C11">
    <x:cfRule type="cellIs" dxfId="0" priority="1" operator="greaterThan">
      <x:formula>0</x:formula>
    </x:cfRule>
    <x:cfRule type="cellIs" dxfId="1" priority="2" operator="lessThan">
      <x:formula>0</x:formula>
    </x:cfRule>
    <x:cfRule type="cellIs" dxfId="2" priority="3" operator="equal">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9" hidden="0" customWidth="1"/>
    <x:col min="2" max="2" width="54" hidden="0" customWidth="1"/>
    <x:col min="3" max="3" width="65" hidden="0" customWidth="1"/>
    <x:col min="4" max="4" width="24" hidden="0" customWidth="1"/>
    <x:col min="5" max="5" width="31" hidden="0" customWidth="1"/>
    <x:col min="6" max="6" width="46" hidden="0" customWidth="1"/>
  </x:cols>
  <x:sheetData>
    <x:row r="1" ht="32" customHeight="1">
      <x:c r="A1" s="3" t="str">
        <x:v>QUELLEN, METHODIK UND PRÜFUNGEN</x:v>
      </x:c>
      <x:c r="B1" s="3" t="str">
        <x:v>QUELLEN, METHODIK UND PRÜFUNGEN</x:v>
      </x:c>
      <x:c r="C1" s="3" t="str">
        <x:v>QUELLEN, METHODIK UND PRÜFUNGEN</x:v>
      </x:c>
      <x:c r="D1" s="3" t="str">
        <x:v>QUELLEN, METHODIK UND PRÜFUNGEN</x:v>
      </x:c>
      <x:c r="E1" s="3" t="str">
        <x:v>QUELLEN, METHODIK UND PRÜFUNGEN</x:v>
      </x:c>
      <x:c r="F1" s="3" t="str">
        <x:v>QUELLEN, METHODIK UND PRÜFUNGEN</x:v>
      </x:c>
    </x:row>
    <x:row r="3" ht="22" customHeight="1">
      <x:c r="A3" s="12" t="str">
        <x:v>BERECHNUNGSLOGIK</x:v>
      </x:c>
      <x:c r="B3" s="13" t="str">
        <x:v>BERECHNUNGSLOGIK</x:v>
      </x:c>
      <x:c r="C3" s="13" t="str">
        <x:v>BERECHNUNGSLOGIK</x:v>
      </x:c>
      <x:c r="D3" s="13" t="str">
        <x:v>BERECHNUNGSLOGIK</x:v>
      </x:c>
      <x:c r="E3" s="13" t="str">
        <x:v>BERECHNUNGSLOGIK</x:v>
      </x:c>
      <x:c r="F3" s="14" t="str">
        <x:v>BERECHNUNGSLOGIK</x:v>
      </x:c>
    </x:row>
    <x:row r="4">
      <x:c r="A4" s="18" t="str">
        <x:v>Schritt</x:v>
      </x:c>
      <x:c r="B4" s="18" t="str">
        <x:v>Formel / Bedeutung</x:v>
      </x:c>
      <x:c r="C4" s="18"/>
      <x:c r="D4" s="18"/>
      <x:c r="E4" s="18"/>
      <x:c r="F4" s="18"/>
    </x:row>
    <x:row r="5">
      <x:c r="A5" s="20" t="str">
        <x:v>1. Monatliche Zeitersparnis</x:v>
      </x:c>
      <x:c r="B5" s="49" t="str">
        <x:v>Ziel-Zeitersparnis × [1 − (1 − Startanteil) × 0,5^((Monat−1) ÷ Halbwertszeit)]</x:v>
      </x:c>
      <x:c r="C5" s="49"/>
      <x:c r="D5" s="49"/>
      <x:c r="E5" s="49"/>
      <x:c r="F5" s="49"/>
    </x:row>
    <x:row r="6">
      <x:c r="A6" s="20" t="str">
        <x:v>2. Gesparte Stunden</x:v>
      </x:c>
      <x:c r="B6" s="49" t="str">
        <x:v>Alle Nutzer × durchschnittliche Zeitersparnis je Person</x:v>
      </x:c>
      <x:c r="C6" s="49"/>
      <x:c r="D6" s="49"/>
      <x:c r="E6" s="49"/>
      <x:c r="F6" s="49"/>
    </x:row>
    <x:row r="7">
      <x:c r="A7" s="20" t="str">
        <x:v>3. Realisierter Nutzen</x:v>
      </x:c>
      <x:c r="B7" s="49" t="str">
        <x:v>Gesparte Stunden × Vollkosten-Stundensatz × 50% wirtschaftliche Realisierung</x:v>
      </x:c>
      <x:c r="C7" s="49"/>
      <x:c r="D7" s="49"/>
      <x:c r="E7" s="49"/>
      <x:c r="F7" s="49"/>
    </x:row>
    <x:row r="8">
      <x:c r="A8" s="20" t="str">
        <x:v>4. Training</x:v>
      </x:c>
      <x:c r="B8" s="49" t="str">
        <x:v>Jahr 1: 100% | Jahr 2: 50% | Jahr 3: 50%</x:v>
      </x:c>
      <x:c r="C8" s="49"/>
      <x:c r="D8" s="49"/>
      <x:c r="E8" s="49"/>
      <x:c r="F8" s="49"/>
    </x:row>
    <x:row r="9">
      <x:c r="A9" s="20" t="str">
        <x:v>5. IT-Setup</x:v>
      </x:c>
      <x:c r="B9" s="49" t="str">
        <x:v>2.500 € Grundaufwand + degressive Nutzerstaffel; nur Jahr 1</x:v>
      </x:c>
      <x:c r="C9" s="49"/>
      <x:c r="D9" s="49"/>
      <x:c r="E9" s="49"/>
      <x:c r="F9" s="49"/>
    </x:row>
    <x:row r="10">
      <x:c r="A10" s="20" t="str">
        <x:v>6. Change &amp; Adoption</x:v>
      </x:c>
      <x:c r="B10" s="49" t="str">
        <x:v>12% der jährlichen Lizenz-, Trainings- und IT-Basiskosten</x:v>
      </x:c>
      <x:c r="C10" s="49"/>
      <x:c r="D10" s="49"/>
      <x:c r="E10" s="49"/>
      <x:c r="F10" s="49"/>
    </x:row>
    <x:row r="11">
      <x:c r="A11" s="20" t="str">
        <x:v>7. ROI</x:v>
      </x:c>
      <x:c r="B11" s="49" t="str">
        <x:v>(Realisierter Nutzen − Gesamtkosten) ÷ Gesamtkosten. &gt; 0% = Netto-Nutzen; 0% = Break-even; &lt; 0% = Kosten noch nicht gedeckt. 100% bedeutet: gesamter Nutzen ist doppelt so hoch wie die Kosten.</x:v>
      </x:c>
      <x:c r="C11" s="49"/>
      <x:c r="D11" s="49"/>
      <x:c r="E11" s="49"/>
      <x:c r="F11" s="49"/>
    </x:row>
    <x:row r="12">
      <x:c r="A12" s="20" t="str">
        <x:v>8. Kostenzeitpunkt</x:v>
      </x:c>
      <x:c r="B12" s="49" t="str">
        <x:v>Jahreslizenzen monatlich; Training, IT und Change im ersten Monat des jeweiligen Jahres</x:v>
      </x:c>
      <x:c r="C12" s="49"/>
      <x:c r="D12" s="49"/>
      <x:c r="E12" s="49"/>
      <x:c r="F12" s="49"/>
    </x:row>
    <x:row r="14" ht="22" customHeight="1">
      <x:c r="A14" s="12" t="str">
        <x:v>IT-STAFFEL – INTERNE PLANUNGSANNAHME</x:v>
      </x:c>
      <x:c r="B14" s="13" t="str">
        <x:v>IT-STAFFEL – INTERNE PLANUNGSANNAHME</x:v>
      </x:c>
      <x:c r="C14" s="13" t="str">
        <x:v>IT-STAFFEL – INTERNE PLANUNGSANNAHME</x:v>
      </x:c>
      <x:c r="D14" s="13" t="str">
        <x:v>IT-STAFFEL – INTERNE PLANUNGSANNAHME</x:v>
      </x:c>
      <x:c r="E14" s="13" t="str">
        <x:v>IT-STAFFEL – INTERNE PLANUNGSANNAHME</x:v>
      </x:c>
      <x:c r="F14" s="14" t="str">
        <x:v>IT-STAFFEL – INTERNE PLANUNGSANNAHME</x:v>
      </x:c>
    </x:row>
    <x:row r="15">
      <x:c r="A15" s="18" t="str">
        <x:v>Baustein</x:v>
      </x:c>
      <x:c r="B15" s="18" t="str">
        <x:v>Ansatz</x:v>
      </x:c>
      <x:c r="C15" s="18" t="str">
        <x:v>Bereich</x:v>
      </x:c>
      <x:c r="D15" s="18" t="str">
        <x:v>Begründung</x:v>
      </x:c>
      <x:c r="E15" s="18" t="str">
        <x:v>Typ</x:v>
      </x:c>
      <x:c r="F15" s="18" t="str">
        <x:v>Hinweis</x:v>
      </x:c>
    </x:row>
    <x:row r="16">
      <x:c r="A16" s="49" t="str">
        <x:v>Grundaufwand</x:v>
      </x:c>
      <x:c r="B16" s="131" t="n">
        <x:v>2500</x:v>
      </x:c>
      <x:c r="C16" s="49" t="str">
        <x:v>jede Einführung</x:v>
      </x:c>
      <x:c r="D16" s="49" t="str">
        <x:v>Tenant-Prüfung, Grundkonzept, Koordination</x:v>
      </x:c>
      <x:c r="E16" s="49" t="str">
        <x:v>Modellannahme</x:v>
      </x:c>
      <x:c r="F16" s="49" t="str">
        <x:v>Geschützte Modellannahme</x:v>
      </x:c>
    </x:row>
    <x:row r="17">
      <x:c r="A17" s="49" t="str">
        <x:v>Stufe 1</x:v>
      </x:c>
      <x:c r="B17" s="131" t="n">
        <x:v>150</x:v>
      </x:c>
      <x:c r="C17" s="49" t="str">
        <x:v>Nutzer 1–50</x:v>
      </x:c>
      <x:c r="D17" s="49" t="str">
        <x:v>Hoher Aufwand je Nutzer bei kleinen Rollouts</x:v>
      </x:c>
      <x:c r="E17" s="49" t="str">
        <x:v>Modellannahme</x:v>
      </x:c>
      <x:c r="F17" s="49" t="str">
        <x:v>Grenzkosten je Nutzer</x:v>
      </x:c>
    </x:row>
    <x:row r="18">
      <x:c r="A18" s="49" t="str">
        <x:v>Stufe 2</x:v>
      </x:c>
      <x:c r="B18" s="131" t="n">
        <x:v>75</x:v>
      </x:c>
      <x:c r="C18" s="49" t="str">
        <x:v>Nutzer 51–250</x:v>
      </x:c>
      <x:c r="D18" s="49" t="str">
        <x:v>Erste Skaleneffekte</x:v>
      </x:c>
      <x:c r="E18" s="49" t="str">
        <x:v>Modellannahme</x:v>
      </x:c>
      <x:c r="F18" s="49" t="str">
        <x:v>Grenzkosten je Nutzer</x:v>
      </x:c>
    </x:row>
    <x:row r="19">
      <x:c r="A19" s="49" t="str">
        <x:v>Stufe 3</x:v>
      </x:c>
      <x:c r="B19" s="131" t="n">
        <x:v>40</x:v>
      </x:c>
      <x:c r="C19" s="49" t="str">
        <x:v>Nutzer 251–1.000</x:v>
      </x:c>
      <x:c r="D19" s="49" t="str">
        <x:v>Standardisierung und Wiederverwendung</x:v>
      </x:c>
      <x:c r="E19" s="49" t="str">
        <x:v>Modellannahme</x:v>
      </x:c>
      <x:c r="F19" s="49" t="str">
        <x:v>Grenzkosten je Nutzer</x:v>
      </x:c>
    </x:row>
    <x:row r="20">
      <x:c r="A20" s="49" t="str">
        <x:v>Stufe 4</x:v>
      </x:c>
      <x:c r="B20" s="131" t="n">
        <x:v>20</x:v>
      </x:c>
      <x:c r="C20" s="49" t="str">
        <x:v>ab Nutzer 1.001</x:v>
      </x:c>
      <x:c r="D20" s="49" t="str">
        <x:v>Weitere Skaleneffekte, aber zusätzliche Governance</x:v>
      </x:c>
      <x:c r="E20" s="49" t="str">
        <x:v>Modellannahme</x:v>
      </x:c>
      <x:c r="F20" s="49" t="str">
        <x:v>Grenzkosten je Nutzer</x:v>
      </x:c>
    </x:row>
    <x:row r="22" ht="22" customHeight="1">
      <x:c r="A22" s="12" t="str">
        <x:v>QUELLEN UND EINORDNUNG</x:v>
      </x:c>
      <x:c r="B22" s="13" t="str">
        <x:v>QUELLEN UND EINORDNUNG</x:v>
      </x:c>
      <x:c r="C22" s="13" t="str">
        <x:v>QUELLEN UND EINORDNUNG</x:v>
      </x:c>
      <x:c r="D22" s="13" t="str">
        <x:v>QUELLEN UND EINORDNUNG</x:v>
      </x:c>
      <x:c r="E22" s="13" t="str">
        <x:v>QUELLEN UND EINORDNUNG</x:v>
      </x:c>
      <x:c r="F22" s="14" t="str">
        <x:v>QUELLEN UND EINORDNUNG</x:v>
      </x:c>
    </x:row>
    <x:row r="23">
      <x:c r="A23" s="18" t="str">
        <x:v>Thema</x:v>
      </x:c>
      <x:c r="B23" s="18" t="str">
        <x:v>Verwendete Aussage</x:v>
      </x:c>
      <x:c r="C23" s="18" t="str">
        <x:v>Quelle</x:v>
      </x:c>
      <x:c r="D23" s="18" t="str">
        <x:v>Stand</x:v>
      </x:c>
      <x:c r="E23" s="18" t="str">
        <x:v>Typ</x:v>
      </x:c>
      <x:c r="F23" s="18" t="str">
        <x:v>Hinweis</x:v>
      </x:c>
    </x:row>
    <x:row r="24">
      <x:c r="A24" s="49" t="str">
        <x:v>Zeitersparnis</x:v>
      </x:c>
      <x:c r="B24" s="49" t="str">
        <x:v>Typische allgemeine Nutzer: 8 Std./Monat; Modellwert: 9 Std.; hoch entwickelte Nutzer: bis 20 Std.</x:v>
      </x:c>
      <x:c r="C24" s="49" t="str">
        <x:v>https://tei.forrester.com/go/microsoft/M365Copilot/?lang=en-us</x:v>
      </x:c>
      <x:c r="D24" s="49" t="str">
        <x:v>März 2025</x:v>
      </x:c>
      <x:c r="E24" s="49" t="str">
        <x:v>Microsoft-beauftragte Forrester-TEI-Studie</x:v>
      </x:c>
      <x:c r="F24" s="49" t="str">
        <x:v>Realistisches Szenario nutzt 8 Std.; kein garantierter Kundenwert</x:v>
      </x:c>
    </x:row>
    <x:row r="25">
      <x:c r="A25" s="49" t="str">
        <x:v>Realisierungsfaktor</x:v>
      </x:c>
      <x:c r="B25" s="49" t="str">
        <x:v>Forrester verwendet 50% Productivity Recapture</x:v>
      </x:c>
      <x:c r="C25" s="49" t="str">
        <x:v>https://tei.forrester.com/go/microsoft/M365Copilot/?lang=en-us</x:v>
      </x:c>
      <x:c r="D25" s="49" t="str">
        <x:v>März 2025</x:v>
      </x:c>
      <x:c r="E25" s="49" t="str">
        <x:v>Studienannahme</x:v>
      </x:c>
      <x:c r="F25" s="49" t="str">
        <x:v>Im Rechner separat ausgewiesen</x:v>
      </x:c>
    </x:row>
    <x:row r="26">
      <x:c r="A26" s="49" t="str">
        <x:v>Kompetenzaufbau</x:v>
      </x:c>
      <x:c r="B26" s="49" t="str">
        <x:v>Mindestens 12 Wochen bis Vertrautheit; etwa 3 Monate bis Kompetenz</x:v>
      </x:c>
      <x:c r="C26" s="49" t="str">
        <x:v>https://tei.forrester.com/go/microsoft/M365Copilot/?lang=en-us</x:v>
      </x:c>
      <x:c r="D26" s="49" t="str">
        <x:v>März 2025</x:v>
      </x:c>
      <x:c r="E26" s="49" t="str">
        <x:v>Forrester-Interviews</x:v>
      </x:c>
      <x:c r="F26" s="49" t="str">
        <x:v>Stützt schnellen Start plus weitere Entwicklung</x:v>
      </x:c>
    </x:row>
    <x:row r="27">
      <x:c r="A27" s="49" t="str">
        <x:v>Laufende Adoption</x:v>
      </x:c>
      <x:c r="B27" s="49" t="str">
        <x:v>Adoption-Community-Nutzer hatten 30% mehr aktive Tage über 12 Wochen</x:v>
      </x:c>
      <x:c r="C27" s="49" t="str">
        <x:v>https://adoption.microsoft.com/en-us/copilot/adoption-community/</x:v>
      </x:c>
      <x:c r="D27" s="49" t="str">
        <x:v>Juli 2025</x:v>
      </x:c>
      <x:c r="E27" s="49" t="str">
        <x:v>Interne Microsoft-Analyse</x:v>
      </x:c>
      <x:c r="F27" s="49" t="str">
        <x:v>Stützt fortlaufendes Lernen und Community-Begleitung</x:v>
      </x:c>
    </x:row>
    <x:row r="29" ht="22" customHeight="1">
      <x:c r="A29" s="12" t="str">
        <x:v>INTERNES ANGEBOTSMODELL COPILOTENSCHULE</x:v>
      </x:c>
      <x:c r="B29" s="13" t="str">
        <x:v>INTERNES ANGEBOTSMODELL COPILOTENSCHULE</x:v>
      </x:c>
      <x:c r="C29" s="13" t="str">
        <x:v>INTERNES ANGEBOTSMODELL COPILOTENSCHULE</x:v>
      </x:c>
      <x:c r="D29" s="13" t="str">
        <x:v>INTERNES ANGEBOTSMODELL COPILOTENSCHULE</x:v>
      </x:c>
      <x:c r="E29" s="13" t="str">
        <x:v>INTERNES ANGEBOTSMODELL COPILOTENSCHULE</x:v>
      </x:c>
      <x:c r="F29" s="14" t="str">
        <x:v>INTERNES ANGEBOTSMODELL COPILOTENSCHULE</x:v>
      </x:c>
    </x:row>
    <x:row r="30">
      <x:c r="A30" s="18" t="str">
        <x:v>Baustein</x:v>
      </x:c>
      <x:c r="B30" s="18" t="str">
        <x:v>Wert</x:v>
      </x:c>
      <x:c r="C30" s="18" t="str">
        <x:v>Einheit</x:v>
      </x:c>
      <x:c r="D30" s="18" t="str">
        <x:v>Quelle</x:v>
      </x:c>
      <x:c r="E30" s="18" t="str">
        <x:v>Stand</x:v>
      </x:c>
      <x:c r="F30" s="18" t="str">
        <x:v>Hinweis</x:v>
      </x:c>
    </x:row>
    <x:row r="31">
      <x:c r="A31" s="20" t="str">
        <x:v>Kick-off je Gruppe</x:v>
      </x:c>
      <x:c r="B31" s="55" t="n">
        <x:v>1800</x:v>
      </x:c>
      <x:c r="C31" s="20" t="str">
        <x:v>€</x:v>
      </x:c>
      <x:c r="D31" s="20" t="str">
        <x:v>Interne Preisangabe</x:v>
      </x:c>
      <x:c r="E31" s="20" t="str">
        <x:v>27.07.2026</x:v>
      </x:c>
      <x:c r="F31" s="20" t="str">
        <x:v>Gängigstes Modell</x:v>
      </x:c>
    </x:row>
    <x:row r="32">
      <x:c r="A32" s="20" t="str">
        <x:v>Anzahl Lernreise-Termine</x:v>
      </x:c>
      <x:c r="B32" s="66" t="n">
        <x:v>4</x:v>
      </x:c>
      <x:c r="C32" s="20" t="str">
        <x:v>Termine</x:v>
      </x:c>
      <x:c r="D32" s="20" t="str">
        <x:v>Interne Preisangabe</x:v>
      </x:c>
      <x:c r="E32" s="20" t="str">
        <x:v>27.07.2026</x:v>
      </x:c>
      <x:c r="F32" s="20" t="str">
        <x:v>Je Gruppe</x:v>
      </x:c>
    </x:row>
    <x:row r="33">
      <x:c r="A33" s="20" t="str">
        <x:v>Gruppengröße</x:v>
      </x:c>
      <x:c r="B33" s="66" t="n">
        <x:v>12</x:v>
      </x:c>
      <x:c r="C33" s="20" t="str">
        <x:v>Personen</x:v>
      </x:c>
      <x:c r="D33" s="20" t="str">
        <x:v>Interne Preisangabe</x:v>
      </x:c>
      <x:c r="E33" s="20" t="str">
        <x:v>27.07.2026</x:v>
      </x:c>
      <x:c r="F33" s="20" t="str">
        <x:v>5.000 € je Gruppe = 416,67 € je Platz</x:v>
      </x:c>
    </x:row>
    <x:row r="34">
      <x:c r="A34" s="20" t="str">
        <x:v>Weiterbildung Folgejahre</x:v>
      </x:c>
      <x:c r="B34" s="56" t="n">
        <x:v>0.5</x:v>
      </x:c>
      <x:c r="C34" s="20" t="str">
        <x:v>% von Jahr 1</x:v>
      </x:c>
      <x:c r="D34" s="20" t="str">
        <x:v>Planungsannahme</x:v>
      </x:c>
      <x:c r="E34" s="20" t="str">
        <x:v>27.07.2026</x:v>
      </x:c>
      <x:c r="F34" s="20" t="str">
        <x:v>Jeweils in Jahr 2 und Jahr 3</x:v>
      </x:c>
    </x:row>
    <x:row r="35">
      <x:c r="A35" s="20" t="str">
        <x:v>Preis je Lernreise-Termin</x:v>
      </x:c>
      <x:c r="B35" s="55" t="n">
        <x:v>800</x:v>
      </x:c>
      <x:c r="C35" s="20" t="str">
        <x:v>€</x:v>
      </x:c>
      <x:c r="D35" s="20" t="str">
        <x:v>Interne Preisangabe</x:v>
      </x:c>
      <x:c r="E35" s="20" t="str">
        <x:v>27.07.2026</x:v>
      </x:c>
      <x:c r="F35" s="20" t="str">
        <x:v>Vier Termine ergeben 3.200 € je Gruppe</x:v>
      </x:c>
    </x:row>
    <x:row r="36">
      <x:c r="A36" s="20" t="str">
        <x:v>Change &amp; Adoption</x:v>
      </x:c>
      <x:c r="B36" s="56" t="n">
        <x:v>0.12</x:v>
      </x:c>
      <x:c r="C36" s="20" t="str">
        <x:v>% der jährlichen Basis</x:v>
      </x:c>
      <x:c r="D36" s="20" t="str">
        <x:v>Planungsannahme</x:v>
      </x:c>
      <x:c r="E36" s="20" t="str">
        <x:v>27.07.2026</x:v>
      </x:c>
      <x:c r="F36" s="20" t="str">
        <x:v>Lizenzen, Training und IT-Setup</x:v>
      </x:c>
    </x:row>
    <x:row r="37" ht="22" customHeight="1">
      <x:c r="A37" s="12" t="str">
        <x:v>MODELLPRÜFUNGEN</x:v>
      </x:c>
      <x:c r="B37" s="13" t="str">
        <x:v>MODELLPRÜFUNGEN</x:v>
      </x:c>
      <x:c r="C37" s="13" t="str">
        <x:v>MODELLPRÜFUNGEN</x:v>
      </x:c>
      <x:c r="D37" s="13" t="str">
        <x:v>MODELLPRÜFUNGEN</x:v>
      </x:c>
      <x:c r="E37" s="13" t="str">
        <x:v>MODELLPRÜFUNGEN</x:v>
      </x:c>
      <x:c r="F37" s="14" t="str">
        <x:v>MODELLPRÜFUNGEN</x:v>
      </x:c>
    </x:row>
    <x:row r="38">
      <x:c r="A38" s="18" t="str">
        <x:v>Prüfung</x:v>
      </x:c>
      <x:c r="B38" s="18" t="str">
        <x:v>Status</x:v>
      </x:c>
      <x:c r="C38" s="18" t="str">
        <x:v>Hinweis</x:v>
      </x:c>
    </x:row>
    <x:row r="39">
      <x:c r="A39" s="20" t="str">
        <x:v>Nutzerzahl &gt; 0</x:v>
      </x:c>
      <x:c r="B39" s="42" t="str">
        <x:f>IF('1. Eingaben'!B8&gt;0,"OK","PRÜFEN")</x:f>
        <x:v>OK</x:v>
      </x:c>
      <x:c r="C39" s="20" t="str">
        <x:v>1. Eingaben!B8</x:v>
      </x:c>
    </x:row>
    <x:row r="40">
      <x:c r="A40" s="20" t="str">
        <x:v>Gruppengröße &gt; 0</x:v>
      </x:c>
      <x:c r="B40" s="42" t="str">
        <x:f>IF(B33&gt;0,"OK","PRÜFEN")</x:f>
        <x:v>OK</x:v>
      </x:c>
      <x:c r="C40" s="20" t="str">
        <x:v>6. Quellen &amp; Methodik!B33</x:v>
      </x:c>
    </x:row>
    <x:row r="41">
      <x:c r="A41" s="20" t="str">
        <x:v>Folgejahresfaktor 0–100%</x:v>
      </x:c>
      <x:c r="B41" s="42" t="str">
        <x:f>IF(AND(B34&gt;=0,B34&lt;=1),"OK","PRÜFEN")</x:f>
        <x:v>OK</x:v>
      </x:c>
      <x:c r="C41" s="20" t="str">
        <x:v>6. Quellen &amp; Methodik!B34</x:v>
      </x:c>
    </x:row>
    <x:row r="42">
      <x:c r="A42" s="20" t="str">
        <x:v>IT-Setup steigt mit Nutzerzahl</x:v>
      </x:c>
      <x:c r="B42" s="42" t="str">
        <x:f>IF('5. Berechnung'!F19&gt;0,"OK","PRÜFEN")</x:f>
        <x:v>OK</x:v>
      </x:c>
      <x:c r="C42" s="20" t="str">
        <x:v>5. Berechnung!F19</x:v>
      </x:c>
    </x:row>
    <x:row r="43">
      <x:c r="A43" s="20" t="str">
        <x:v>Ziel-Zeitersparnis 0–20 Std./Monat</x:v>
      </x:c>
      <x:c r="B43" s="42" t="str">
        <x:f>IF(AND(MIN('4. Szenarien'!B6:B7)&gt;=0,MAX('4. Szenarien'!B6:B7)&lt;=20),"OK","PRÜFEN")</x:f>
        <x:v>OK</x:v>
      </x:c>
      <x:c r="C43" s="20" t="str">
        <x:v>4. Szenarien!B6:B7</x:v>
      </x:c>
    </x:row>
    <x:row r="44">
      <x:c r="A44" s="20" t="str">
        <x:v>Realisierungsfaktor 0–100%</x:v>
      </x:c>
      <x:c r="B44" s="42" t="str">
        <x:f>IF(AND(MIN('4. Szenarien'!D6:D7)&gt;=0,MAX('4. Szenarien'!D6:D7)&lt;=1),"OK","PRÜFEN")</x:f>
        <x:v>OK</x:v>
      </x:c>
      <x:c r="C44" s="20" t="str">
        <x:v>4. Szenarien!D6:D7</x:v>
      </x:c>
    </x:row>
    <x:row r="45">
      <x:c r="A45" s="20" t="str">
        <x:v>36 Monatszeilen vorhanden</x:v>
      </x:c>
      <x:c r="B45" s="42" t="str">
        <x:f>IF(AND(MIN('5. Berechnung'!A26:A61)=1,MAX('5. Berechnung'!A26:A61)=36),"OK","PRÜFEN")</x:f>
        <x:v>OK</x:v>
      </x:c>
      <x:c r="C45" s="20" t="str">
        <x:v>5. Berechnung!A26:A61</x:v>
      </x:c>
    </x:row>
    <x:row r="46">
      <x:c r="A46" s="20" t="str">
        <x:v>Gesamtstatus</x:v>
      </x:c>
      <x:c r="B46" s="132" t="str">
        <x:f>IF(COUNTIF(B39:B45,"PRÜFEN")=0,"PASS","PRÜFEN")</x:f>
        <x:v>PASS</x:v>
      </x:c>
      <x:c r="C46" s="20" t="str">
        <x:v>Alle Prüfungen müssen OK sein</x:v>
      </x:c>
    </x:row>
    <x:row r="49" ht="22" customHeight="1">
      <x:c r="A49" s="12" t="str">
        <x:v>AKTUELLE PLAUSIBILITÄTSPRÜFUNG – NICHT IN DEN FORMELN VERWENDET</x:v>
      </x:c>
      <x:c r="B49" s="13" t="str">
        <x:v>AKTUELLE PLAUSIBILITÄTSPRÜFUNG – NICHT IN DEN FORMELN VERWENDET</x:v>
      </x:c>
      <x:c r="C49" s="13" t="str">
        <x:v>AKTUELLE PLAUSIBILITÄTSPRÜFUNG – NICHT IN DEN FORMELN VERWENDET</x:v>
      </x:c>
      <x:c r="D49" s="13" t="str">
        <x:v>AKTUELLE PLAUSIBILITÄTSPRÜFUNG – NICHT IN DEN FORMELN VERWENDET</x:v>
      </x:c>
      <x:c r="E49" s="13" t="str">
        <x:v>AKTUELLE PLAUSIBILITÄTSPRÜFUNG – NICHT IN DEN FORMELN VERWENDET</x:v>
      </x:c>
      <x:c r="F49" s="14" t="str">
        <x:v>AKTUELLE PLAUSIBILITÄTSPRÜFUNG – NICHT IN DEN FORMELN VERWENDET</x:v>
      </x:c>
    </x:row>
    <x:row r="50">
      <x:c r="A50" s="18" t="str">
        <x:v>Studie</x:v>
      </x:c>
      <x:c r="B50" s="18" t="str">
        <x:v>Ergebnis</x:v>
      </x:c>
      <x:c r="C50" s="18" t="str">
        <x:v>Quelle</x:v>
      </x:c>
      <x:c r="D50" s="18" t="str">
        <x:v>Stand</x:v>
      </x:c>
      <x:c r="E50" s="18" t="str">
        <x:v>Einordnung</x:v>
      </x:c>
      <x:c r="F50" s="18" t="str">
        <x:v>Verwendung im Modell</x:v>
      </x:c>
    </x:row>
    <x:row r="51">
      <x:c r="A51" s="49" t="str">
        <x:v>DWP Microsoft 365 Copilot Evaluation</x:v>
      </x:c>
      <x:c r="B51" s="49" t="str">
        <x:v>19 Min./Tag ≈ 6,9 Std./Monat</x:v>
      </x:c>
      <x:c r="C51" s="49" t="str">
        <x:v>https://www.gov.uk/government/publications/an-evaluation-of-dwps-microsoft-copilot-365-trial/an-evaluation-of-dwps-microsoft-365-copilot-trial</x:v>
      </x:c>
      <x:c r="D51" s="49" t="str">
        <x:v>Januar 2026</x:v>
      </x:c>
      <x:c r="E51" s="49" t="str">
        <x:v>Unterhalb von 8 Std.; Vergleichsgruppe und Regression, aber selbstberichtete Zeitwerte</x:v>
      </x:c>
      <x:c r="F51" s="49" t="str">
        <x:v>Nur Plausibilitätsprüfung</x:v>
      </x:c>
    </x:row>
    <x:row r="52">
      <x:c r="A52" s="49" t="str">
        <x:v>UK Cross-Government Copilot Experiment</x:v>
      </x:c>
      <x:c r="B52" s="49" t="str">
        <x:v>26 Min./Tag ≈ 9,4 Std./Monat</x:v>
      </x:c>
      <x:c r="C52" s="49" t="str">
        <x:v>https://www.gov.uk/government/publications/microsoft-365-copilot-experiment-cross-government-findings-report/microsoft-365-copilot-experiment-cross-government-findings-report-html</x:v>
      </x:c>
      <x:c r="D52" s="49" t="str">
        <x:v>Juni 2025</x:v>
      </x:c>
      <x:c r="E52" s="49" t="str">
        <x:v>Nahe am studiennahen Szenario; selbstberichtete Zeitwerte</x:v>
      </x:c>
      <x:c r="F52" s="49" t="str">
        <x:v>Nur Plausibilitätsprüfung</x:v>
      </x:c>
    </x:row>
    <x:row r="53">
      <x:c r="A53" s="49" t="str">
        <x:v>OECD: Generative AI und Produktivität</x:v>
      </x:c>
      <x:c r="B53" s="49" t="str">
        <x:v>Wirkung hängt stark von Aufgabe, Erfahrung und Mensch-KI-Zusammenarbeit ab</x:v>
      </x:c>
      <x:c r="C53" s="49" t="str">
        <x:v>https://www.oecd.org/en/publications/the-effects-of-generative-ai-on-productivity-innovation-and-entrepreneurship_b21df222-en.html</x:v>
      </x:c>
      <x:c r="D53" s="49" t="str">
        <x:v>Juni 2025</x:v>
      </x:c>
      <x:c r="E53" s="49" t="str">
        <x:v>Begründet Szenarien und Erfolgsmessung statt eines universellen Werts</x:v>
      </x:c>
      <x:c r="F53" s="49" t="str">
        <x:v>Nur Plausibilitätsprüfung</x:v>
      </x:c>
    </x:row>
    <x:row r="55">
      <x:c r="A55" s="99"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B55" s="100"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C55" s="100"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D55" s="100"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E55" s="100"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F55" s="101"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row>
    <x:row r="56">
      <x:c r="A56" s="102"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B56" s="98"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C56" s="98"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D56" s="98"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E56" s="98"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F56" s="103"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row>
    <x:row r="57">
      <x:c r="A57" s="104"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B57" s="105"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C57" s="105"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D57" s="105"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E57" s="105"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c r="F57" s="106" t="str">
        <x:v>Abgrenzung: Die verwendeten Zeitwerte betreffen KI überwiegend als persönlichen Assistenten für einzelne Aufgaben. Zusätzlicher Nutzen aus agentischen, mehrstufigen Tätigkeiten ist nicht eingerechnet. Dadurch bleibt der Business Case bewusst auf heute besser belegbare Assistenz-Nutzung begrenzt.</x:v>
      </x:c>
    </x:row>
  </x:sheetData>
  <x:sheetProtection sheet="1" objects="1" scenarios="1" formatCells="1" formatColumns="1" formatRows="1" insertColumns="1" insertRows="1" insertHyperlinks="1" deleteColumns="1" deleteRows="1" sort="1" autoFilter="1" pivotTables="1"/>
  <x:mergeCells>
    <x:mergeCell ref="A1:F1"/>
    <x:mergeCell ref="A3:F3"/>
    <x:mergeCell ref="B4:F4"/>
    <x:mergeCell ref="B5:F5"/>
    <x:mergeCell ref="B6:F6"/>
    <x:mergeCell ref="B7:F7"/>
    <x:mergeCell ref="B8:F8"/>
    <x:mergeCell ref="B9:F9"/>
    <x:mergeCell ref="B10:F10"/>
    <x:mergeCell ref="B11:F11"/>
    <x:mergeCell ref="B12:F12"/>
    <x:mergeCell ref="A14:F14"/>
    <x:mergeCell ref="A22:F22"/>
    <x:mergeCell ref="A29:F29"/>
    <x:mergeCell ref="A37:F37"/>
    <x:mergeCell ref="A49:F49"/>
    <x:mergeCell ref="A55:F57"/>
  </x:mergeCells>
  <x:conditionalFormatting sqref="B39:B46">
    <x:cfRule type="containsText" dxfId="12" priority="1" operator="containsText" text="PRÜFEN"/>
  </x:conditionalFormatting>
  <x:pageMargins left="0.7" right="0.7" top="0.75" bottom="0.75" header="0.3" footer="0.3"/>
</x:worksheet>
</file>