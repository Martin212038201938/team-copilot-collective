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Eingaben" sheetId="1" state="visible" r:id="rId3"/>
    <sheet name="2. Kosten" sheetId="2" state="visible" r:id="rId4"/>
    <sheet name="3. Nutzen" sheetId="3" state="visible" r:id="rId5"/>
    <sheet name="4. ROI-Dashboard" sheetId="4" state="visible" r:id="rId6"/>
    <sheet name="5. Zusammenfassun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<sst xmlns="http://schemas.openxmlformats.org/spreadsheetml/2006/main" count="203" uniqueCount="162">
  <si>
    <t xml:space="preserve">COPILOT ROI-RECHNER (mit realistischer Einschätzung)</t>
  </si>
  <si>
    <t xml:space="preserve">Tragen Sie Ihre Unternehmensdaten in die GELBEN Felder ein</t>
  </si>
  <si>
    <t xml:space="preserve">STUDIENERGEBNISSE (REFERENZWERTE)</t>
  </si>
  <si>
    <t xml:space="preserve">Zeitersparnis pro Nutzer/Monat (MS-Studie)</t>
  </si>
  <si>
    <t xml:space="preserve">9 Stunden</t>
  </si>
  <si>
    <t xml:space="preserve">Quelle: Forrester TEI Study</t>
  </si>
  <si>
    <t xml:space="preserve">Produktivitätssteigerung (trainierte Nutzer)</t>
  </si>
  <si>
    <t xml:space="preserve">77%</t>
  </si>
  <si>
    <t xml:space="preserve">Quelle: Microsoft Work Trend Index</t>
  </si>
  <si>
    <t xml:space="preserve">Unsere realistische Einschätzung</t>
  </si>
  <si>
    <t xml:space="preserve">4,5 Stunden</t>
  </si>
  <si>
    <t xml:space="preserve">ca. 50% der Studien-Werte (Praxiserfahrung)</t>
  </si>
  <si>
    <t xml:space="preserve">Hinweis: Die Microsoft-Studien zeigen Maximalwerte unter optimalen Bedingungen.</t>
  </si>
  <si>
    <t xml:space="preserve">UNTERNEHMENSDATEN</t>
  </si>
  <si>
    <t xml:space="preserve">Parameter</t>
  </si>
  <si>
    <t xml:space="preserve">Wert</t>
  </si>
  <si>
    <t xml:space="preserve">Einheit</t>
  </si>
  <si>
    <t xml:space="preserve">Hinweis</t>
  </si>
  <si>
    <t xml:space="preserve">Anzahl Copilot-Nutzer</t>
  </si>
  <si>
    <t xml:space="preserve">Mitarbeiter</t>
  </si>
  <si>
    <t xml:space="preserve">Geplante Lizenzen</t>
  </si>
  <si>
    <t xml:space="preserve">Durchschnittlicher Stundensatz</t>
  </si>
  <si>
    <t xml:space="preserve">€/Stunde</t>
  </si>
  <si>
    <t xml:space="preserve">Vollkosten inkl. Nebenkosten</t>
  </si>
  <si>
    <t xml:space="preserve">LIZENZKOSTEN</t>
  </si>
  <si>
    <t xml:space="preserve">Copilot Lizenzkosten pro Monat</t>
  </si>
  <si>
    <t xml:space="preserve">€/Nutzer</t>
  </si>
  <si>
    <t xml:space="preserve">M365 Copilot: €26/Nutzer/Monat (Stand März 2026)</t>
  </si>
  <si>
    <t xml:space="preserve">IT-Setup (einmalig)</t>
  </si>
  <si>
    <t xml:space="preserve">€</t>
  </si>
  <si>
    <t xml:space="preserve">Integration, Rollout (€10k-50k)</t>
  </si>
  <si>
    <t xml:space="preserve">Change Management</t>
  </si>
  <si>
    <t xml:space="preserve">% der Basiskosten</t>
  </si>
  <si>
    <t xml:space="preserve">Üblich: 10-15%</t>
  </si>
  <si>
    <t xml:space="preserve">TRAINING &amp; ENABLEMENT</t>
  </si>
  <si>
    <t xml:space="preserve">Training-Budget pro Mitarbeiter</t>
  </si>
  <si>
    <t xml:space="preserve">€/Mitarbeiter</t>
  </si>
  <si>
    <t xml:space="preserve">Üblich: €800-1.500 (Standard: €1.000)</t>
  </si>
  <si>
    <t xml:space="preserve">→ Erwartete Adoption-Rate</t>
  </si>
  <si>
    <t xml:space="preserve">%</t>
  </si>
  <si>
    <t xml:space="preserve">Berechnet aus Training-Budget</t>
  </si>
  <si>
    <t xml:space="preserve">Hinweis zur Adoption-Rate (basierend auf Work Trend Index):</t>
  </si>
  <si>
    <t xml:space="preserve">77% der trainierten Nutzer berichten höhere Produktivität.</t>
  </si>
  <si>
    <t xml:space="preserve">Ohne gezieltes Training liegt die aktive Nutzung oft bei nur 5-15%.</t>
  </si>
  <si>
    <t xml:space="preserve">Mit professionellem Training (ab €1.000/MA) erreichen Sie 60-85% Adoption.</t>
  </si>
  <si>
    <t xml:space="preserve">PRODUKTIVITÄTSANNAHMEN</t>
  </si>
  <si>
    <t xml:space="preserve">Zeitersparnis pro aktivem Nutzer</t>
  </si>
  <si>
    <t xml:space="preserve">Stunden/Monat</t>
  </si>
  <si>
    <t xml:space="preserve">MS-Studie (Forrester TEI): 9h/Monat – unsere Einschätzung: ca. 4,5h</t>
  </si>
  <si>
    <t xml:space="preserve">Lernkurve (Monate bis Vollnutzung)</t>
  </si>
  <si>
    <t xml:space="preserve">Monate</t>
  </si>
  <si>
    <t xml:space="preserve">Mit Training: 2-3, ohne: 6-12</t>
  </si>
  <si>
    <t xml:space="preserve">ca. 50% der Studienwerte (Praxis zeigt geringere Werte)</t>
  </si>
  <si>
    <t xml:space="preserve">© copilotenschule.de - ROI-Rechner für Microsoft Copilot | Datenquellen: Forrester TEI, Microsoft Work Trend Index</t>
  </si>
  <si>
    <t xml:space="preserve">KOSTENKALKULATION</t>
  </si>
  <si>
    <t xml:space="preserve">Kostenart</t>
  </si>
  <si>
    <t xml:space="preserve">Berechnung</t>
  </si>
  <si>
    <t xml:space="preserve">Jahr 1 (€)</t>
  </si>
  <si>
    <t xml:space="preserve">Jahre 2-5 (€/Jahr)</t>
  </si>
  <si>
    <t xml:space="preserve">Lizenzen (12 Monate)</t>
  </si>
  <si>
    <t xml:space="preserve">Nutzer × €26 × 12</t>
  </si>
  <si>
    <t xml:space="preserve">Training &amp; Schulung</t>
  </si>
  <si>
    <t xml:space="preserve">Nutzer × Training-Budget</t>
  </si>
  <si>
    <t xml:space="preserve">IT-Setup &amp; Integration</t>
  </si>
  <si>
    <t xml:space="preserve">Einmalig</t>
  </si>
  <si>
    <t xml:space="preserve">Change Management (10-15%)</t>
  </si>
  <si>
    <t xml:space="preserve">TOTAL KOSTEN</t>
  </si>
  <si>
    <t xml:space="preserve">KOSTENAUFSCHLÜSSELUNG</t>
  </si>
  <si>
    <t xml:space="preserve">Anteil Training an Gesamtkosten Jahr 1</t>
  </si>
  <si>
    <t xml:space="preserve">Kosten pro Nutzer Jahr 1</t>
  </si>
  <si>
    <t xml:space="preserve">NUTZENBERECHNUNG (MICROSOFT-STUDIE + REALISTISCHE EINSCHÄTZUNG)</t>
  </si>
  <si>
    <t xml:space="preserve">BERECHNUNGSGRUNDLAGEN</t>
  </si>
  <si>
    <t xml:space="preserve">Zeitersparnis (MS-Studie, Forrester)</t>
  </si>
  <si>
    <t xml:space="preserve">Stunden</t>
  </si>
  <si>
    <t xml:space="preserve">Stundensatz</t>
  </si>
  <si>
    <t xml:space="preserve">Adoption-Rate (aus Training)</t>
  </si>
  <si>
    <t xml:space="preserve">Anzahl Nutzer</t>
  </si>
  <si>
    <t xml:space="preserve">EFFEKTIVER NUTZEN</t>
  </si>
  <si>
    <t xml:space="preserve">Aktive Nutzer (Adoption × Gesamtnutzer)</t>
  </si>
  <si>
    <t xml:space="preserve">Eingesparte Stunden/Jahr (9h × 12 Monate × Aktive)</t>
  </si>
  <si>
    <t xml:space="preserve">JÄHRLICHER NUTZEN (€)</t>
  </si>
  <si>
    <t xml:space="preserve">Nutzen pro aktivem Nutzer/Jahr</t>
  </si>
  <si>
    <t xml:space="preserve">Nutzen pro aktivem Nutzer/Monat</t>
  </si>
  <si>
    <t xml:space="preserve">ROI PRO AKTIVEM NUTZER</t>
  </si>
  <si>
    <t xml:space="preserve">Lizenzkosten pro Monat</t>
  </si>
  <si>
    <t xml:space="preserve">Nutzen pro Monat (9h × Stundensatz)</t>
  </si>
  <si>
    <t xml:space="preserve">ROI pro aktivem Nutzer</t>
  </si>
  <si>
    <t xml:space="preserve">EINFLUSS DER ADOPTION-RATE</t>
  </si>
  <si>
    <t xml:space="preserve">Training-Budget</t>
  </si>
  <si>
    <t xml:space="preserve">Adoption</t>
  </si>
  <si>
    <t xml:space="preserve">Jährlicher Nutzen</t>
  </si>
  <si>
    <t xml:space="preserve">Delta zu aktuell</t>
  </si>
  <si>
    <t xml:space="preserve">Kein Training (€0)</t>
  </si>
  <si>
    <t xml:space="preserve">Basis (€300)</t>
  </si>
  <si>
    <t xml:space="preserve">Standard (€1.000)</t>
  </si>
  <si>
    <t xml:space="preserve">Professional (€1.500)</t>
  </si>
  <si>
    <t xml:space="preserve">Premium (€2.500)</t>
  </si>
  <si>
    <t xml:space="preserve">→ Ihre aktuelle Auswahl</t>
  </si>
  <si>
    <t xml:space="preserve">REALISTISCHE EINSCHÄTZUNG (50% DER STUDIENWERTE)</t>
  </si>
  <si>
    <t xml:space="preserve">Zeitersparnis pro Nutzer/Monat (realistisch)</t>
  </si>
  <si>
    <t xml:space="preserve">Aktive Nutzer</t>
  </si>
  <si>
    <t xml:space="preserve">Eingesparte Stunden/Jahr (realistisch)</t>
  </si>
  <si>
    <t xml:space="preserve">JÄHRLICHER NUTZEN (realistisch, €)</t>
  </si>
  <si>
    <t xml:space="preserve">ROI pro aktivem Nutzer (realistisch)</t>
  </si>
  <si>
    <t xml:space="preserve">VERGLEICH: MS-Studie vs. Realistische Einschätzung</t>
  </si>
  <si>
    <t xml:space="preserve">Jährlicher Nutzen (MS-Studie)</t>
  </si>
  <si>
    <t xml:space="preserve">Jährlicher Nutzen (realistisch)</t>
  </si>
  <si>
    <t xml:space="preserve">Differenz</t>
  </si>
  <si>
    <t xml:space="preserve">ROI-DASHBOARD</t>
  </si>
  <si>
    <t xml:space="preserve">Berechnungsbasis: Forrester TEI Study (9h/Monat) + unsere realistische Einschätzung (4,5h/Monat)</t>
  </si>
  <si>
    <t xml:space="preserve">SCHLÜSSELKENNZAHLEN</t>
  </si>
  <si>
    <t xml:space="preserve">Investition Jahr 1</t>
  </si>
  <si>
    <t xml:space="preserve">Netto-Nutzen Jahr 1</t>
  </si>
  <si>
    <t xml:space="preserve">ROI Jahr 1</t>
  </si>
  <si>
    <t xml:space="preserve">Break-even (Monate)</t>
  </si>
  <si>
    <t xml:space="preserve">Adoption-Rate</t>
  </si>
  <si>
    <t xml:space="preserve">5-JAHRES-PROGNOSE</t>
  </si>
  <si>
    <t xml:space="preserve">Jahr 1</t>
  </si>
  <si>
    <t xml:space="preserve">Jahr 2</t>
  </si>
  <si>
    <t xml:space="preserve">Jahr 3</t>
  </si>
  <si>
    <t xml:space="preserve">Jahr 4</t>
  </si>
  <si>
    <t xml:space="preserve">Jahr 5</t>
  </si>
  <si>
    <t xml:space="preserve">TOTAL</t>
  </si>
  <si>
    <t xml:space="preserve">Kosten</t>
  </si>
  <si>
    <t xml:space="preserve">Nutzen</t>
  </si>
  <si>
    <t xml:space="preserve">Netto-Nutzen</t>
  </si>
  <si>
    <t xml:space="preserve">Kumuliert</t>
  </si>
  <si>
    <t xml:space="preserve">WERT DES TRAININGS</t>
  </si>
  <si>
    <t xml:space="preserve">Training-Budget:</t>
  </si>
  <si>
    <t xml:space="preserve">pro Mitarbeiter</t>
  </si>
  <si>
    <t xml:space="preserve">Resultierende Adoption:</t>
  </si>
  <si>
    <t xml:space="preserve">(77% berichten höhere Produktivität)</t>
  </si>
  <si>
    <t xml:space="preserve">Szenario OHNE Training:</t>
  </si>
  <si>
    <t xml:space="preserve">5%</t>
  </si>
  <si>
    <t xml:space="preserve">Szenario MIT Training:</t>
  </si>
  <si>
    <t xml:space="preserve">MEHRWERT DURCH TRAINING:</t>
  </si>
  <si>
    <t xml:space="preserve">REALISTISCHE ROI-BERECHNUNG (unsere Einschätzung: 4,5h/Monat)</t>
  </si>
  <si>
    <t xml:space="preserve">Netto-Nutzen Jahr 1 (realistisch)</t>
  </si>
  <si>
    <t xml:space="preserve">ROI Jahr 1 (realistisch)</t>
  </si>
  <si>
    <t xml:space="preserve">Break-even realistisch (Monate)</t>
  </si>
  <si>
    <t xml:space="preserve">VERGLEICH MS-STUDIE vs. REALISTISCH</t>
  </si>
  <si>
    <t xml:space="preserve">MS-Studie</t>
  </si>
  <si>
    <t xml:space="preserve">Realistisch</t>
  </si>
  <si>
    <t xml:space="preserve">EXECUTIVE SUMMARY</t>
  </si>
  <si>
    <t xml:space="preserve">Basierend auf: Forrester TEI Study &amp; unsere realistische Einschätzung</t>
  </si>
  <si>
    <t xml:space="preserve">INVESTITIONSÜBERSICHT</t>
  </si>
  <si>
    <t xml:space="preserve">Training-Budget pro MA</t>
  </si>
  <si>
    <t xml:space="preserve">Erwartete Adoption-Rate</t>
  </si>
  <si>
    <t xml:space="preserve">Zeitersparnis/Nutzer/Monat</t>
  </si>
  <si>
    <t xml:space="preserve">ERGEBNIS</t>
  </si>
  <si>
    <t xml:space="preserve">5-Jahres Netto-Nutzen</t>
  </si>
  <si>
    <t xml:space="preserve">REALISTISCHE EINSCHÄTZUNG (copilotenschule.de)</t>
  </si>
  <si>
    <t xml:space="preserve">Break-even realistisch</t>
  </si>
  <si>
    <t xml:space="preserve">   höhere Produktivität</t>
  </si>
  <si>
    <t xml:space="preserve">ERKENNTNISSE AUS DEN STUDIEN</t>
  </si>
  <si>
    <t xml:space="preserve">▸ Die Adoption-Rate ist der entscheidende Erfolgsfaktor</t>
  </si>
  <si>
    <t xml:space="preserve">▸ Forrester TEI Study: 9 Stunden Zeitersparnis pro Nutzer/Monat</t>
  </si>
  <si>
    <t xml:space="preserve">▸ Unsere realistische Einschätzung: ca. 4,5 Stunden (50% der Studienwerte)</t>
  </si>
  <si>
    <t xml:space="preserve">▸ Microsoft Work Trend Index: 77% der trainierten Nutzer berichten</t>
  </si>
  <si>
    <t xml:space="preserve">▸ Ohne Training: nur 5-15% aktive Nutzung</t>
  </si>
  <si>
    <t xml:space="preserve">▸ Mit professionellem Training: 60-85% aktive Nutzung</t>
  </si>
  <si>
    <t xml:space="preserve">▸ Studienwerte sind Maximalwerte – realistische Planung empfohlen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</si>
</sst>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#,##0&quot; €&quot;"/>
    <numFmt numFmtId="167" formatCode="#,##0"/>
    <numFmt numFmtId="168" formatCode="\+#,##0&quot; €&quot;;\-#,##0&quot; €&quot;"/>
    <numFmt numFmtId="169" formatCode="0.0"/>
    <numFmt numFmtId="170" formatCode="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color rgb="FFED8936"/>
      <name val="Cambria"/>
      <family val="0"/>
      <charset val="1"/>
    </font>
    <font>
      <i val="true"/>
      <sz val="11"/>
      <color rgb="FFED8936"/>
      <name val="Cambria"/>
      <family val="0"/>
      <charset val="1"/>
    </font>
    <font>
      <i val="true"/>
      <sz val="9"/>
      <color rgb="FF888888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sz val="9"/>
      <color rgb="FF666666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1"/>
      <color rgb="FF375623"/>
      <name val="Cambria"/>
      <family val="0"/>
      <charset val="1"/>
    </font>
    <font>
      <b val="true"/>
      <sz val="12"/>
      <color rgb="FFED8936"/>
      <name val="Cambria"/>
      <family val="0"/>
      <charset val="1"/>
    </font>
    <font>
      <sz val="11"/>
      <color rgb="FFED8936"/>
      <name val="Cambria"/>
      <family val="0"/>
      <charset val="1"/>
    </font>
    <font>
      <b val="true"/>
      <sz val="18"/>
      <color rgb="FF1F4E79"/>
      <name val="Cambria"/>
      <family val="0"/>
      <charset val="1"/>
    </font>
    <font>
      <sz val="10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6DCE5"/>
        <bgColor rgb="FFDBEEF4"/>
      </patternFill>
    </fill>
    <fill>
      <patternFill patternType="solid">
        <fgColor rgb="FFE8F4FD"/>
        <bgColor rgb="FFDBEEF4"/>
      </patternFill>
    </fill>
    <fill>
      <patternFill patternType="solid">
        <fgColor rgb="FF1F4E79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DBEEF4"/>
        <bgColor rgb="FFE8F4FD"/>
      </patternFill>
    </fill>
    <fill>
      <patternFill patternType="solid">
        <fgColor rgb="FFE2EFDA"/>
        <bgColor rgb="FFDBEE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8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DBEEF4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D8936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5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  <c r="B5" s="3"/>
      <c r="C5" s="3"/>
      <c r="D5" s="3"/>
      <c r="E5" s="3"/>
    </row>
    <row r="6" customFormat="false" ht="15" hidden="false" customHeight="false" outlineLevel="0" collapsed="false">
      <c r="A6" s="4" t="s">
        <v>3</v>
      </c>
      <c r="B6" s="5" t="s">
        <v>4</v>
      </c>
      <c r="C6" s="6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  <c r="C7" s="6" t="s">
        <v>8</v>
      </c>
    </row>
    <row r="8" customFormat="false" ht="15" hidden="false" customHeight="false" outlineLevel="0" collapsed="false">
      <c r="A8" s="7" t="s">
        <v>9</v>
      </c>
      <c r="B8" s="7" t="s">
        <v>10</v>
      </c>
      <c r="C8" s="8" t="s">
        <v>11</v>
      </c>
    </row>
    <row r="9" customFormat="false" ht="15" hidden="false" customHeight="false" outlineLevel="0" collapsed="false">
      <c r="A9" s="9" t="s">
        <v>12</v>
      </c>
    </row>
    <row r="10" customFormat="false" ht="15" hidden="false" customHeight="false" outlineLevel="0" collapsed="false">
      <c r="A10" s="3" t="s">
        <v>13</v>
      </c>
      <c r="B10" s="3"/>
      <c r="C10" s="3"/>
      <c r="D10" s="3"/>
      <c r="E10" s="3"/>
    </row>
    <row r="11" customFormat="false" ht="15" hidden="false" customHeight="false" outlineLevel="0" collapsed="false">
      <c r="A11" s="10" t="s">
        <v>14</v>
      </c>
      <c r="B11" s="10" t="s">
        <v>15</v>
      </c>
      <c r="C11" s="10" t="s">
        <v>16</v>
      </c>
      <c r="D11" s="10" t="s">
        <v>17</v>
      </c>
      <c r="E11" s="10"/>
    </row>
    <row r="12" customFormat="false" ht="15" hidden="false" customHeight="false" outlineLevel="0" collapsed="false">
      <c r="A12" s="11" t="s">
        <v>18</v>
      </c>
      <c r="B12" s="12" t="n">
        <v>300</v>
      </c>
      <c r="C12" s="11" t="s">
        <v>19</v>
      </c>
      <c r="D12" s="11" t="s">
        <v>20</v>
      </c>
    </row>
    <row r="13" customFormat="false" ht="15" hidden="false" customHeight="false" outlineLevel="0" collapsed="false">
      <c r="A13" s="11" t="s">
        <v>21</v>
      </c>
      <c r="B13" s="12" t="n">
        <v>50</v>
      </c>
      <c r="C13" s="11" t="s">
        <v>22</v>
      </c>
      <c r="D13" s="11" t="s">
        <v>23</v>
      </c>
    </row>
    <row r="15" customFormat="false" ht="15" hidden="false" customHeight="false" outlineLevel="0" collapsed="false">
      <c r="A15" s="3" t="s">
        <v>24</v>
      </c>
      <c r="B15" s="3"/>
      <c r="C15" s="3"/>
      <c r="D15" s="3"/>
      <c r="E15" s="3"/>
    </row>
    <row r="16" customFormat="false" ht="15" hidden="false" customHeight="false" outlineLevel="0" collapsed="false">
      <c r="A16" s="10" t="s">
        <v>14</v>
      </c>
      <c r="B16" s="10" t="s">
        <v>15</v>
      </c>
      <c r="C16" s="10" t="s">
        <v>16</v>
      </c>
      <c r="D16" s="10" t="s">
        <v>17</v>
      </c>
      <c r="E16" s="10"/>
    </row>
    <row r="17" customFormat="false" ht="15" hidden="false" customHeight="false" outlineLevel="0" collapsed="false">
      <c r="A17" s="11" t="s">
        <v>25</v>
      </c>
      <c r="B17" s="12" t="n">
        <v>26</v>
      </c>
      <c r="C17" s="11" t="s">
        <v>26</v>
      </c>
      <c r="D17" s="11" t="s">
        <v>27</v>
      </c>
    </row>
    <row r="18" customFormat="false" ht="15" hidden="false" customHeight="false" outlineLevel="0" collapsed="false">
      <c r="A18" s="11" t="s">
        <v>28</v>
      </c>
      <c r="B18" s="12" t="n">
        <v>25000</v>
      </c>
      <c r="C18" s="11" t="s">
        <v>29</v>
      </c>
      <c r="D18" s="11" t="s">
        <v>30</v>
      </c>
    </row>
    <row r="19" customFormat="false" ht="15" hidden="false" customHeight="false" outlineLevel="0" collapsed="false">
      <c r="A19" s="11" t="s">
        <v>31</v>
      </c>
      <c r="B19" s="13" t="n">
        <v>0.12</v>
      </c>
      <c r="C19" s="11" t="s">
        <v>32</v>
      </c>
      <c r="D19" s="11" t="s">
        <v>33</v>
      </c>
    </row>
    <row r="21" customFormat="false" ht="15" hidden="false" customHeight="false" outlineLevel="0" collapsed="false">
      <c r="A21" s="3" t="s">
        <v>34</v>
      </c>
      <c r="B21" s="3"/>
      <c r="C21" s="3"/>
      <c r="D21" s="3"/>
      <c r="E21" s="3"/>
    </row>
    <row r="22" customFormat="false" ht="15" hidden="false" customHeight="false" outlineLevel="0" collapsed="false">
      <c r="A22" s="10" t="s">
        <v>14</v>
      </c>
      <c r="B22" s="10" t="s">
        <v>15</v>
      </c>
      <c r="C22" s="10" t="s">
        <v>16</v>
      </c>
      <c r="D22" s="10" t="s">
        <v>17</v>
      </c>
      <c r="E22" s="10"/>
    </row>
    <row r="23" customFormat="false" ht="15" hidden="false" customHeight="false" outlineLevel="0" collapsed="false">
      <c r="A23" s="11" t="s">
        <v>35</v>
      </c>
      <c r="B23" s="12" t="n">
        <v>1000</v>
      </c>
      <c r="C23" s="11" t="s">
        <v>36</v>
      </c>
      <c r="D23" s="11" t="s">
        <v>37</v>
      </c>
    </row>
    <row r="24" customFormat="false" ht="15" hidden="false" customHeight="false" outlineLevel="0" collapsed="false">
      <c r="A24" s="14" t="s">
        <v>38</v>
      </c>
      <c r="B24" s="15" t="n">
        <f aca="false">MIN(0.9,MAX(0.05, 0.05 + 0.85 * (1 - EXP(-B23/600))))</f>
        <v>0.739455737588073</v>
      </c>
      <c r="C24" s="11" t="s">
        <v>39</v>
      </c>
      <c r="D24" s="11" t="s">
        <v>40</v>
      </c>
    </row>
    <row r="26" customFormat="false" ht="15" hidden="false" customHeight="false" outlineLevel="0" collapsed="false">
      <c r="A26" s="16" t="s">
        <v>41</v>
      </c>
    </row>
    <row r="27" customFormat="false" ht="15" hidden="false" customHeight="false" outlineLevel="0" collapsed="false">
      <c r="A27" s="17" t="s">
        <v>42</v>
      </c>
    </row>
    <row r="28" customFormat="false" ht="15" hidden="false" customHeight="false" outlineLevel="0" collapsed="false">
      <c r="A28" s="17" t="s">
        <v>43</v>
      </c>
    </row>
    <row r="29" customFormat="false" ht="15" hidden="false" customHeight="false" outlineLevel="0" collapsed="false">
      <c r="A29" s="17" t="s">
        <v>44</v>
      </c>
    </row>
    <row r="31" customFormat="false" ht="15" hidden="false" customHeight="false" outlineLevel="0" collapsed="false">
      <c r="A31" s="3" t="s">
        <v>45</v>
      </c>
      <c r="B31" s="3"/>
      <c r="C31" s="3"/>
      <c r="D31" s="3"/>
      <c r="E31" s="3"/>
    </row>
    <row r="32" customFormat="false" ht="15" hidden="false" customHeight="false" outlineLevel="0" collapsed="false">
      <c r="A32" s="10" t="s">
        <v>14</v>
      </c>
      <c r="B32" s="10" t="s">
        <v>15</v>
      </c>
      <c r="C32" s="10" t="s">
        <v>16</v>
      </c>
      <c r="D32" s="10" t="s">
        <v>17</v>
      </c>
      <c r="E32" s="10"/>
    </row>
    <row r="33" customFormat="false" ht="15" hidden="false" customHeight="false" outlineLevel="0" collapsed="false">
      <c r="A33" s="11" t="s">
        <v>46</v>
      </c>
      <c r="B33" s="12" t="n">
        <v>9</v>
      </c>
      <c r="C33" s="11" t="s">
        <v>47</v>
      </c>
      <c r="D33" s="11" t="s">
        <v>48</v>
      </c>
    </row>
    <row r="34" customFormat="false" ht="15" hidden="false" customHeight="false" outlineLevel="0" collapsed="false">
      <c r="A34" s="11" t="s">
        <v>49</v>
      </c>
      <c r="B34" s="12" t="n">
        <v>3</v>
      </c>
      <c r="C34" s="11" t="s">
        <v>50</v>
      </c>
      <c r="D34" s="11" t="s">
        <v>51</v>
      </c>
    </row>
    <row r="35" customFormat="false" ht="15" hidden="false" customHeight="false" outlineLevel="0" collapsed="false">
      <c r="A35" s="7" t="s">
        <v>9</v>
      </c>
      <c r="B35" s="7" t="n">
        <v>4.5</v>
      </c>
      <c r="C35" s="0" t="s">
        <v>47</v>
      </c>
      <c r="D35" s="0" t="s">
        <v>52</v>
      </c>
    </row>
    <row r="37" customFormat="false" ht="15" hidden="false" customHeight="false" outlineLevel="0" collapsed="false">
      <c r="A37" s="18"/>
    </row>
    <row r="39" customFormat="false" ht="15" hidden="false" customHeight="false" outlineLevel="0" collapsed="false">
      <c r="A39" s="0" t="s">
        <v>53</v>
      </c>
    </row>
  </sheetData>
  <mergeCells count="6">
    <mergeCell ref="A1:E1"/>
    <mergeCell ref="A5:E5"/>
    <mergeCell ref="A10:E10"/>
    <mergeCell ref="A15:E15"/>
    <mergeCell ref="A21:E21"/>
    <mergeCell ref="A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5"/>
    <col collapsed="false" customWidth="true" hidden="false" outlineLevel="0" max="3" min="3" style="0" width="18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9" t="s">
        <v>54</v>
      </c>
      <c r="B1" s="19"/>
      <c r="C1" s="19"/>
      <c r="D1" s="19"/>
      <c r="E1" s="19"/>
    </row>
    <row r="3" customFormat="false" ht="15" hidden="false" customHeight="false" outlineLevel="0" collapsed="false">
      <c r="A3" s="10" t="s">
        <v>55</v>
      </c>
      <c r="B3" s="10" t="s">
        <v>56</v>
      </c>
      <c r="C3" s="10" t="s">
        <v>57</v>
      </c>
      <c r="D3" s="10" t="s">
        <v>58</v>
      </c>
      <c r="E3" s="10"/>
    </row>
    <row r="4" customFormat="false" ht="15" hidden="false" customHeight="false" outlineLevel="0" collapsed="false">
      <c r="A4" s="11" t="s">
        <v>59</v>
      </c>
      <c r="B4" s="11" t="s">
        <v>60</v>
      </c>
      <c r="C4" s="20" t="n">
        <f aca="false">'1. Eingaben'!B12*'1. Eingaben'!B17*12</f>
        <v>93600</v>
      </c>
      <c r="D4" s="20" t="n">
        <f aca="false">'1. Eingaben'!B12*'1. Eingaben'!B17*12</f>
        <v>93600</v>
      </c>
    </row>
    <row r="5" customFormat="false" ht="15" hidden="false" customHeight="false" outlineLevel="0" collapsed="false">
      <c r="A5" s="11" t="s">
        <v>61</v>
      </c>
      <c r="B5" s="11" t="s">
        <v>62</v>
      </c>
      <c r="C5" s="20" t="n">
        <f aca="false">'1. Eingaben'!B12*'1. Eingaben'!B23</f>
        <v>300000</v>
      </c>
      <c r="D5" s="20" t="n">
        <v>0</v>
      </c>
    </row>
    <row r="6" customFormat="false" ht="15" hidden="false" customHeight="false" outlineLevel="0" collapsed="false">
      <c r="A6" s="11" t="s">
        <v>63</v>
      </c>
      <c r="B6" s="11" t="s">
        <v>64</v>
      </c>
      <c r="C6" s="20" t="n">
        <f aca="false">'1. Eingaben'!B18</f>
        <v>25000</v>
      </c>
      <c r="D6" s="20" t="n">
        <v>0</v>
      </c>
    </row>
    <row r="7" customFormat="false" ht="15" hidden="false" customHeight="false" outlineLevel="0" collapsed="false">
      <c r="A7" s="11" t="s">
        <v>65</v>
      </c>
      <c r="B7" s="11" t="s">
        <v>32</v>
      </c>
      <c r="C7" s="20" t="n">
        <f aca="false">'1. Eingaben'!B19*(C4+C5+C6)</f>
        <v>50232</v>
      </c>
      <c r="D7" s="20" t="n">
        <v>0</v>
      </c>
    </row>
    <row r="9" customFormat="false" ht="15" hidden="false" customHeight="false" outlineLevel="0" collapsed="false">
      <c r="A9" s="21" t="s">
        <v>66</v>
      </c>
      <c r="B9" s="21"/>
      <c r="C9" s="22" t="n">
        <f aca="false">SUM(C4:C7)</f>
        <v>468832</v>
      </c>
      <c r="D9" s="22" t="n">
        <f aca="false">SUM(D4:D7)</f>
        <v>93600</v>
      </c>
    </row>
    <row r="11" customFormat="false" ht="15" hidden="false" customHeight="false" outlineLevel="0" collapsed="false">
      <c r="A11" s="3" t="s">
        <v>67</v>
      </c>
      <c r="B11" s="3"/>
      <c r="C11" s="3"/>
    </row>
    <row r="12" customFormat="false" ht="15" hidden="false" customHeight="false" outlineLevel="0" collapsed="false">
      <c r="A12" s="11" t="s">
        <v>68</v>
      </c>
      <c r="C12" s="15" t="n">
        <f aca="false">C5/C9</f>
        <v>0.639888062248311</v>
      </c>
    </row>
    <row r="13" customFormat="false" ht="15" hidden="false" customHeight="false" outlineLevel="0" collapsed="false">
      <c r="A13" s="11" t="s">
        <v>69</v>
      </c>
      <c r="C13" s="23" t="n">
        <f aca="false">C9/'1. Eingaben'!B12</f>
        <v>1562.77333333333</v>
      </c>
    </row>
    <row r="16" customFormat="false" ht="15" hidden="false" customHeight="false" outlineLevel="0" collapsed="false">
      <c r="A16" s="18" t="s">
        <v>53</v>
      </c>
    </row>
  </sheetData>
  <mergeCells count="2">
    <mergeCell ref="A1:E1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4" min="3" style="0" width="18"/>
  </cols>
  <sheetData>
    <row r="1" customFormat="false" ht="19.7" hidden="false" customHeight="false" outlineLevel="0" collapsed="false">
      <c r="A1" s="19" t="s">
        <v>70</v>
      </c>
      <c r="B1" s="19"/>
      <c r="C1" s="19"/>
      <c r="D1" s="19"/>
    </row>
    <row r="3" customFormat="false" ht="15" hidden="false" customHeight="false" outlineLevel="0" collapsed="false">
      <c r="A3" s="3" t="s">
        <v>71</v>
      </c>
      <c r="B3" s="3"/>
      <c r="C3" s="3"/>
      <c r="D3" s="3"/>
    </row>
    <row r="5" customFormat="false" ht="15" hidden="false" customHeight="false" outlineLevel="0" collapsed="false">
      <c r="A5" s="11" t="s">
        <v>72</v>
      </c>
      <c r="B5" s="24" t="n">
        <f aca="false">'1. Eingaben'!B33</f>
        <v>9</v>
      </c>
      <c r="C5" s="11" t="s">
        <v>73</v>
      </c>
    </row>
    <row r="6" customFormat="false" ht="15" hidden="false" customHeight="false" outlineLevel="0" collapsed="false">
      <c r="A6" s="11" t="s">
        <v>74</v>
      </c>
      <c r="B6" s="23" t="n">
        <f aca="false">'1. Eingaben'!B13</f>
        <v>50</v>
      </c>
      <c r="C6" s="11"/>
    </row>
    <row r="7" customFormat="false" ht="15" hidden="false" customHeight="false" outlineLevel="0" collapsed="false">
      <c r="A7" s="11" t="s">
        <v>75</v>
      </c>
      <c r="B7" s="15" t="n">
        <f aca="false">'1. Eingaben'!B24</f>
        <v>0.739455737588073</v>
      </c>
      <c r="C7" s="11"/>
    </row>
    <row r="8" customFormat="false" ht="15" hidden="false" customHeight="false" outlineLevel="0" collapsed="false">
      <c r="A8" s="11" t="s">
        <v>76</v>
      </c>
      <c r="B8" s="24" t="n">
        <f aca="false">'1. Eingaben'!B12</f>
        <v>300</v>
      </c>
      <c r="C8" s="11"/>
    </row>
    <row r="10" customFormat="false" ht="15" hidden="false" customHeight="false" outlineLevel="0" collapsed="false">
      <c r="A10" s="3" t="s">
        <v>77</v>
      </c>
      <c r="B10" s="3"/>
      <c r="C10" s="3"/>
      <c r="D10" s="3"/>
    </row>
    <row r="12" customFormat="false" ht="15" hidden="false" customHeight="false" outlineLevel="0" collapsed="false">
      <c r="A12" s="11" t="s">
        <v>78</v>
      </c>
      <c r="B12" s="25" t="n">
        <f aca="false">B8*B7</f>
        <v>221.836721276422</v>
      </c>
    </row>
    <row r="13" customFormat="false" ht="15" hidden="false" customHeight="false" outlineLevel="0" collapsed="false">
      <c r="A13" s="11" t="s">
        <v>79</v>
      </c>
      <c r="B13" s="25" t="n">
        <f aca="false">B12*B5*12</f>
        <v>23958.3658978535</v>
      </c>
    </row>
    <row r="15" customFormat="false" ht="15" hidden="false" customHeight="false" outlineLevel="0" collapsed="false">
      <c r="A15" s="21" t="s">
        <v>80</v>
      </c>
      <c r="B15" s="22" t="n">
        <f aca="false">B13*B6</f>
        <v>1197918.29489268</v>
      </c>
    </row>
    <row r="17" customFormat="false" ht="15" hidden="false" customHeight="false" outlineLevel="0" collapsed="false">
      <c r="A17" s="11" t="s">
        <v>81</v>
      </c>
      <c r="B17" s="23" t="n">
        <f aca="false">B5*12*B6</f>
        <v>5400</v>
      </c>
    </row>
    <row r="18" customFormat="false" ht="15" hidden="false" customHeight="false" outlineLevel="0" collapsed="false">
      <c r="A18" s="11" t="s">
        <v>82</v>
      </c>
      <c r="B18" s="23" t="n">
        <f aca="false">B5*B6</f>
        <v>450</v>
      </c>
    </row>
    <row r="20" customFormat="false" ht="15" hidden="false" customHeight="false" outlineLevel="0" collapsed="false">
      <c r="A20" s="3" t="s">
        <v>83</v>
      </c>
      <c r="B20" s="3"/>
      <c r="C20" s="3"/>
      <c r="D20" s="3"/>
    </row>
    <row r="22" customFormat="false" ht="15" hidden="false" customHeight="false" outlineLevel="0" collapsed="false">
      <c r="A22" s="11" t="s">
        <v>84</v>
      </c>
      <c r="B22" s="23" t="n">
        <f aca="false">'1. Eingaben'!B17</f>
        <v>26</v>
      </c>
    </row>
    <row r="23" customFormat="false" ht="15" hidden="false" customHeight="false" outlineLevel="0" collapsed="false">
      <c r="A23" s="11" t="s">
        <v>85</v>
      </c>
      <c r="B23" s="23" t="n">
        <f aca="false">B18</f>
        <v>450</v>
      </c>
    </row>
    <row r="24" customFormat="false" ht="15" hidden="false" customHeight="false" outlineLevel="0" collapsed="false">
      <c r="A24" s="11" t="s">
        <v>86</v>
      </c>
      <c r="B24" s="26" t="n">
        <f aca="false">(B23-B22)/B22</f>
        <v>16.3076923076923</v>
      </c>
    </row>
    <row r="27" customFormat="false" ht="15" hidden="false" customHeight="false" outlineLevel="0" collapsed="false">
      <c r="A27" s="3" t="s">
        <v>87</v>
      </c>
      <c r="B27" s="3"/>
      <c r="C27" s="3"/>
      <c r="D27" s="3"/>
    </row>
    <row r="28" customFormat="false" ht="15" hidden="false" customHeight="false" outlineLevel="0" collapsed="false">
      <c r="A28" s="10" t="s">
        <v>88</v>
      </c>
      <c r="B28" s="10" t="s">
        <v>89</v>
      </c>
      <c r="C28" s="10" t="s">
        <v>90</v>
      </c>
      <c r="D28" s="10" t="s">
        <v>91</v>
      </c>
    </row>
    <row r="29" customFormat="false" ht="15" hidden="false" customHeight="false" outlineLevel="0" collapsed="false">
      <c r="A29" s="11" t="s">
        <v>92</v>
      </c>
      <c r="B29" s="27" t="n">
        <f aca="false">MIN(0.9,MAX(0.05, 0.05 + 0.85 * (1 - EXP(-0/600))))</f>
        <v>0.05</v>
      </c>
      <c r="C29" s="20" t="n">
        <f aca="false">B29*'1. Eingaben'!B12*'1. Eingaben'!B33*12*'1. Eingaben'!B13</f>
        <v>81000</v>
      </c>
      <c r="D29" s="28" t="n">
        <f aca="false">C29-$B$15</f>
        <v>-1116918.29489268</v>
      </c>
    </row>
    <row r="30" customFormat="false" ht="15" hidden="false" customHeight="false" outlineLevel="0" collapsed="false">
      <c r="A30" s="11" t="s">
        <v>93</v>
      </c>
      <c r="B30" s="27" t="n">
        <f aca="false">MIN(0.9,MAX(0.05, 0.05 + 0.85 * (1 - EXP(-300/600))))</f>
        <v>0.384448939244262</v>
      </c>
      <c r="C30" s="20" t="n">
        <f aca="false">B30*'1. Eingaben'!B12*'1. Eingaben'!B33*12*'1. Eingaben'!B13</f>
        <v>622807.281575704</v>
      </c>
      <c r="D30" s="28" t="n">
        <f aca="false">C30-$B$15</f>
        <v>-575111.013316974</v>
      </c>
    </row>
    <row r="31" customFormat="false" ht="15" hidden="false" customHeight="false" outlineLevel="0" collapsed="false">
      <c r="A31" s="11" t="s">
        <v>94</v>
      </c>
      <c r="B31" s="27" t="n">
        <f aca="false">MIN(0.9,MAX(0.05, 0.05 + 0.85 * (1 - EXP(-1000/600))))</f>
        <v>0.739455737588073</v>
      </c>
      <c r="C31" s="20" t="n">
        <f aca="false">B31*'1. Eingaben'!B12*'1. Eingaben'!B33*12*'1. Eingaben'!B13</f>
        <v>1197918.29489268</v>
      </c>
      <c r="D31" s="28" t="n">
        <f aca="false">C31-$B$15</f>
        <v>0</v>
      </c>
    </row>
    <row r="32" customFormat="false" ht="15" hidden="false" customHeight="false" outlineLevel="0" collapsed="false">
      <c r="A32" s="11" t="s">
        <v>95</v>
      </c>
      <c r="B32" s="27" t="n">
        <f aca="false">MIN(0.9,MAX(0.05, 0.05 + 0.85 * (1 - EXP(-1500/600))))</f>
        <v>0.830227751169686</v>
      </c>
      <c r="C32" s="20" t="n">
        <f aca="false">B32*'1. Eingaben'!B12*'1. Eingaben'!B33*12*'1. Eingaben'!B13</f>
        <v>1344968.95689489</v>
      </c>
      <c r="D32" s="28" t="n">
        <f aca="false">C32-$B$15</f>
        <v>147050.662002214</v>
      </c>
    </row>
    <row r="33" customFormat="false" ht="15" hidden="false" customHeight="false" outlineLevel="0" collapsed="false">
      <c r="A33" s="11" t="s">
        <v>96</v>
      </c>
      <c r="B33" s="27" t="n">
        <f aca="false">MIN(0.9,MAX(0.05, 0.05 + 0.85 * (1 - EXP(-2500/600))))</f>
        <v>0.886821724440842</v>
      </c>
      <c r="C33" s="20" t="n">
        <f aca="false">B33*'1. Eingaben'!B12*'1. Eingaben'!B33*12*'1. Eingaben'!B13</f>
        <v>1436651.19359416</v>
      </c>
      <c r="D33" s="28" t="n">
        <f aca="false">C33-$B$15</f>
        <v>238732.898701487</v>
      </c>
    </row>
    <row r="35" customFormat="false" ht="15" hidden="false" customHeight="false" outlineLevel="0" collapsed="false">
      <c r="A35" s="21" t="s">
        <v>97</v>
      </c>
      <c r="B35" s="26" t="n">
        <f aca="false">'1. Eingaben'!B24</f>
        <v>0.739455737588073</v>
      </c>
      <c r="C35" s="22" t="n">
        <f aca="false">B15</f>
        <v>1197918.29489268</v>
      </c>
    </row>
    <row r="38" customFormat="false" ht="15" hidden="false" customHeight="false" outlineLevel="0" collapsed="false">
      <c r="A38" s="18"/>
    </row>
    <row r="40" customFormat="false" ht="15" hidden="false" customHeight="false" outlineLevel="0" collapsed="false">
      <c r="A40" s="29" t="s">
        <v>98</v>
      </c>
    </row>
    <row r="42" customFormat="false" ht="15" hidden="false" customHeight="false" outlineLevel="0" collapsed="false">
      <c r="A42" s="0" t="s">
        <v>99</v>
      </c>
      <c r="B42" s="0" t="n">
        <f aca="false">'1. Eingaben'!B35</f>
        <v>4.5</v>
      </c>
      <c r="C42" s="0" t="s">
        <v>73</v>
      </c>
    </row>
    <row r="43" customFormat="false" ht="15" hidden="false" customHeight="false" outlineLevel="0" collapsed="false">
      <c r="A43" s="0" t="s">
        <v>100</v>
      </c>
      <c r="B43" s="30" t="n">
        <f aca="false">B12</f>
        <v>221.836721276422</v>
      </c>
    </row>
    <row r="44" customFormat="false" ht="15" hidden="false" customHeight="false" outlineLevel="0" collapsed="false">
      <c r="A44" s="0" t="s">
        <v>101</v>
      </c>
      <c r="B44" s="0" t="n">
        <f aca="false">B43*B42*12</f>
        <v>11979.1829489268</v>
      </c>
    </row>
    <row r="46" customFormat="false" ht="15" hidden="false" customHeight="false" outlineLevel="0" collapsed="false">
      <c r="A46" s="7" t="s">
        <v>102</v>
      </c>
      <c r="B46" s="7" t="n">
        <f aca="false">B44*B6</f>
        <v>598959.147446339</v>
      </c>
    </row>
    <row r="48" customFormat="false" ht="15" hidden="false" customHeight="false" outlineLevel="0" collapsed="false">
      <c r="A48" s="0" t="s">
        <v>103</v>
      </c>
      <c r="B48" s="0" t="n">
        <f aca="false">(B42*B6-'1. Eingaben'!B17)/'1. Eingaben'!B17</f>
        <v>7.65384615384615</v>
      </c>
    </row>
    <row r="50" customFormat="false" ht="15" hidden="false" customHeight="false" outlineLevel="0" collapsed="false">
      <c r="A50" s="31" t="s">
        <v>104</v>
      </c>
    </row>
    <row r="51" customFormat="false" ht="15" hidden="false" customHeight="false" outlineLevel="0" collapsed="false">
      <c r="A51" s="0" t="s">
        <v>105</v>
      </c>
      <c r="B51" s="32" t="n">
        <f aca="false">B15</f>
        <v>1197918.29489268</v>
      </c>
    </row>
    <row r="52" customFormat="false" ht="15" hidden="false" customHeight="false" outlineLevel="0" collapsed="false">
      <c r="A52" s="33" t="s">
        <v>106</v>
      </c>
      <c r="B52" s="33" t="n">
        <f aca="false">B46</f>
        <v>598959.147446339</v>
      </c>
    </row>
    <row r="53" customFormat="false" ht="15" hidden="false" customHeight="false" outlineLevel="0" collapsed="false">
      <c r="A53" s="0" t="s">
        <v>107</v>
      </c>
      <c r="B53" s="0" t="n">
        <f aca="false">B51-B52</f>
        <v>598959.147446339</v>
      </c>
    </row>
    <row r="56" customFormat="false" ht="15" hidden="false" customHeight="false" outlineLevel="0" collapsed="false">
      <c r="A56" s="0" t="s">
        <v>53</v>
      </c>
    </row>
  </sheetData>
  <mergeCells count="5">
    <mergeCell ref="A1:D1"/>
    <mergeCell ref="A3:D3"/>
    <mergeCell ref="A10:D10"/>
    <mergeCell ref="A20:D20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5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7" min="6" style="0" width="14"/>
  </cols>
  <sheetData>
    <row r="1" customFormat="false" ht="19.7" hidden="false" customHeight="false" outlineLevel="0" collapsed="false">
      <c r="A1" s="19" t="s">
        <v>108</v>
      </c>
      <c r="B1" s="19"/>
      <c r="C1" s="19"/>
      <c r="D1" s="19"/>
      <c r="E1" s="19"/>
      <c r="F1" s="19"/>
    </row>
    <row r="3" customFormat="false" ht="15" hidden="false" customHeight="false" outlineLevel="0" collapsed="false">
      <c r="A3" s="18" t="s">
        <v>109</v>
      </c>
    </row>
    <row r="5" customFormat="false" ht="15" hidden="false" customHeight="false" outlineLevel="0" collapsed="false">
      <c r="A5" s="3" t="s">
        <v>110</v>
      </c>
      <c r="B5" s="3"/>
      <c r="C5" s="3"/>
      <c r="D5" s="3"/>
    </row>
    <row r="7" customFormat="false" ht="15" hidden="false" customHeight="false" outlineLevel="0" collapsed="false">
      <c r="A7" s="11" t="s">
        <v>111</v>
      </c>
      <c r="B7" s="22" t="n">
        <f aca="false">'2. Kosten'!C9</f>
        <v>468832</v>
      </c>
    </row>
    <row r="8" customFormat="false" ht="15" hidden="false" customHeight="false" outlineLevel="0" collapsed="false">
      <c r="A8" s="11" t="s">
        <v>90</v>
      </c>
      <c r="B8" s="22" t="n">
        <f aca="false">'3. Nutzen'!B15</f>
        <v>1197918.29489268</v>
      </c>
    </row>
    <row r="9" customFormat="false" ht="15" hidden="false" customHeight="false" outlineLevel="0" collapsed="false">
      <c r="A9" s="11" t="s">
        <v>112</v>
      </c>
      <c r="B9" s="22" t="n">
        <f aca="false">'3. Nutzen'!B15-'2. Kosten'!C9</f>
        <v>729086.294892677</v>
      </c>
    </row>
    <row r="10" customFormat="false" ht="15" hidden="false" customHeight="false" outlineLevel="0" collapsed="false">
      <c r="A10" s="11" t="s">
        <v>113</v>
      </c>
      <c r="B10" s="26" t="n">
        <f aca="false">('3. Nutzen'!B15-'2. Kosten'!C9)/'2. Kosten'!C9</f>
        <v>1.55511205483559</v>
      </c>
    </row>
    <row r="11" customFormat="false" ht="15" hidden="false" customHeight="false" outlineLevel="0" collapsed="false">
      <c r="A11" s="11" t="s">
        <v>114</v>
      </c>
      <c r="B11" s="34" t="n">
        <f aca="false">'2. Kosten'!C9/('3. Nutzen'!B15/12)</f>
        <v>4.69646721649245</v>
      </c>
    </row>
    <row r="12" customFormat="false" ht="15" hidden="false" customHeight="false" outlineLevel="0" collapsed="false">
      <c r="A12" s="11" t="s">
        <v>115</v>
      </c>
      <c r="B12" s="26" t="n">
        <f aca="false">'1. Eingaben'!B24</f>
        <v>0.739455737588073</v>
      </c>
    </row>
    <row r="13" customFormat="false" ht="15" hidden="false" customHeight="false" outlineLevel="0" collapsed="false">
      <c r="A13" s="11" t="s">
        <v>86</v>
      </c>
      <c r="B13" s="26" t="n">
        <f aca="false">'3. Nutzen'!B24</f>
        <v>16.3076923076923</v>
      </c>
    </row>
    <row r="15" customFormat="false" ht="15" hidden="false" customHeight="false" outlineLevel="0" collapsed="false">
      <c r="A15" s="7"/>
    </row>
    <row r="16" customFormat="false" ht="15" hidden="false" customHeight="false" outlineLevel="0" collapsed="false">
      <c r="A16" s="3" t="s">
        <v>116</v>
      </c>
      <c r="B16" s="3"/>
      <c r="C16" s="3"/>
      <c r="D16" s="3"/>
      <c r="E16" s="3"/>
      <c r="F16" s="3"/>
      <c r="G16" s="3"/>
    </row>
    <row r="17" customFormat="false" ht="15" hidden="false" customHeight="false" outlineLevel="0" collapsed="false">
      <c r="A17" s="10"/>
      <c r="B17" s="10" t="s">
        <v>117</v>
      </c>
      <c r="C17" s="10" t="s">
        <v>118</v>
      </c>
      <c r="D17" s="10" t="s">
        <v>119</v>
      </c>
      <c r="E17" s="10" t="s">
        <v>120</v>
      </c>
      <c r="F17" s="10" t="s">
        <v>121</v>
      </c>
      <c r="G17" s="10" t="s">
        <v>122</v>
      </c>
    </row>
    <row r="18" customFormat="false" ht="15" hidden="false" customHeight="false" outlineLevel="0" collapsed="false">
      <c r="A18" s="11" t="s">
        <v>123</v>
      </c>
      <c r="B18" s="20" t="n">
        <f aca="false">'2. Kosten'!C9</f>
        <v>468832</v>
      </c>
      <c r="C18" s="20" t="n">
        <f aca="false">'2. Kosten'!D9</f>
        <v>93600</v>
      </c>
      <c r="D18" s="20" t="n">
        <f aca="false">'2. Kosten'!D9</f>
        <v>93600</v>
      </c>
      <c r="E18" s="20" t="n">
        <f aca="false">'2. Kosten'!D9</f>
        <v>93600</v>
      </c>
      <c r="F18" s="20" t="n">
        <f aca="false">'2. Kosten'!D9</f>
        <v>93600</v>
      </c>
      <c r="G18" s="20" t="n">
        <f aca="false">SUM(B18:F18)</f>
        <v>843232</v>
      </c>
    </row>
    <row r="19" customFormat="false" ht="15" hidden="false" customHeight="false" outlineLevel="0" collapsed="false">
      <c r="A19" s="11" t="s">
        <v>124</v>
      </c>
      <c r="B19" s="20" t="n">
        <f aca="false">'3. Nutzen'!B15</f>
        <v>1197918.29489268</v>
      </c>
      <c r="C19" s="20" t="n">
        <f aca="false">'3. Nutzen'!B15</f>
        <v>1197918.29489268</v>
      </c>
      <c r="D19" s="20" t="n">
        <f aca="false">'3. Nutzen'!B15</f>
        <v>1197918.29489268</v>
      </c>
      <c r="E19" s="20" t="n">
        <f aca="false">'3. Nutzen'!B15</f>
        <v>1197918.29489268</v>
      </c>
      <c r="F19" s="20" t="n">
        <f aca="false">'3. Nutzen'!B15</f>
        <v>1197918.29489268</v>
      </c>
      <c r="G19" s="20" t="n">
        <f aca="false">SUM(B19:F19)</f>
        <v>5989591.47446339</v>
      </c>
    </row>
    <row r="20" customFormat="false" ht="15" hidden="false" customHeight="false" outlineLevel="0" collapsed="false">
      <c r="A20" s="11" t="s">
        <v>125</v>
      </c>
      <c r="B20" s="20" t="n">
        <f aca="false">B19-B18</f>
        <v>729086.294892677</v>
      </c>
      <c r="C20" s="20" t="n">
        <f aca="false">C19-C18</f>
        <v>1104318.29489268</v>
      </c>
      <c r="D20" s="20" t="n">
        <f aca="false">D19-D18</f>
        <v>1104318.29489268</v>
      </c>
      <c r="E20" s="20" t="n">
        <f aca="false">E19-E18</f>
        <v>1104318.29489268</v>
      </c>
      <c r="F20" s="20" t="n">
        <f aca="false">F19-F18</f>
        <v>1104318.29489268</v>
      </c>
      <c r="G20" s="20" t="n">
        <f aca="false">SUM(B20:F20)</f>
        <v>5146359.47446339</v>
      </c>
    </row>
    <row r="21" customFormat="false" ht="15" hidden="false" customHeight="false" outlineLevel="0" collapsed="false">
      <c r="A21" s="35" t="s">
        <v>126</v>
      </c>
      <c r="B21" s="36" t="n">
        <f aca="false">B20</f>
        <v>729086.294892677</v>
      </c>
      <c r="C21" s="36" t="n">
        <f aca="false">B21+C20</f>
        <v>1833404.58978535</v>
      </c>
      <c r="D21" s="36" t="n">
        <f aca="false">C21+D20</f>
        <v>2937722.88467803</v>
      </c>
      <c r="E21" s="36" t="n">
        <f aca="false">D21+E20</f>
        <v>4042041.17957071</v>
      </c>
      <c r="F21" s="36" t="n">
        <f aca="false">E21+F20</f>
        <v>5146359.47446339</v>
      </c>
      <c r="G21" s="36" t="n">
        <f aca="false">F21</f>
        <v>5146359.47446339</v>
      </c>
    </row>
    <row r="24" customFormat="false" ht="15" hidden="false" customHeight="false" outlineLevel="0" collapsed="false">
      <c r="A24" s="3" t="s">
        <v>127</v>
      </c>
      <c r="B24" s="3"/>
      <c r="C24" s="3"/>
      <c r="D24" s="3"/>
      <c r="E24" s="3"/>
      <c r="F24" s="3"/>
    </row>
    <row r="26" customFormat="false" ht="15" hidden="false" customHeight="false" outlineLevel="0" collapsed="false">
      <c r="A26" s="11" t="s">
        <v>128</v>
      </c>
      <c r="B26" s="22" t="n">
        <f aca="false">'1. Eingaben'!B23</f>
        <v>1000</v>
      </c>
      <c r="C26" s="11" t="s">
        <v>129</v>
      </c>
    </row>
    <row r="27" customFormat="false" ht="15" hidden="false" customHeight="false" outlineLevel="0" collapsed="false">
      <c r="A27" s="11" t="s">
        <v>130</v>
      </c>
      <c r="B27" s="26" t="n">
        <f aca="false">'1. Eingaben'!B24</f>
        <v>0.739455737588073</v>
      </c>
      <c r="C27" s="37" t="s">
        <v>131</v>
      </c>
    </row>
    <row r="29" customFormat="false" ht="15" hidden="false" customHeight="false" outlineLevel="0" collapsed="false">
      <c r="A29" s="11" t="s">
        <v>132</v>
      </c>
      <c r="B29" s="11" t="s">
        <v>133</v>
      </c>
      <c r="C29" s="11" t="s">
        <v>89</v>
      </c>
      <c r="D29" s="20" t="n">
        <f aca="false">0.05*'1. Eingaben'!B12*'1. Eingaben'!B33*12*'1. Eingaben'!B13-'2. Kosten'!C9+'1. Eingaben'!B12*'1. Eingaben'!B23</f>
        <v>-87832</v>
      </c>
      <c r="E29" s="11" t="s">
        <v>112</v>
      </c>
    </row>
    <row r="30" customFormat="false" ht="15" hidden="false" customHeight="false" outlineLevel="0" collapsed="false">
      <c r="A30" s="11" t="s">
        <v>134</v>
      </c>
      <c r="B30" s="26" t="n">
        <f aca="false">'1. Eingaben'!B24</f>
        <v>0.739455737588073</v>
      </c>
      <c r="C30" s="11" t="s">
        <v>89</v>
      </c>
      <c r="D30" s="22" t="n">
        <f aca="false">'3. Nutzen'!B15-'2. Kosten'!C9</f>
        <v>729086.294892677</v>
      </c>
      <c r="E30" s="11" t="s">
        <v>112</v>
      </c>
    </row>
    <row r="32" customFormat="false" ht="15" hidden="false" customHeight="false" outlineLevel="0" collapsed="false">
      <c r="A32" s="38" t="s">
        <v>135</v>
      </c>
      <c r="D32" s="39" t="n">
        <f aca="false">D30-D29</f>
        <v>816918.294892677</v>
      </c>
    </row>
    <row r="35" customFormat="false" ht="15" hidden="false" customHeight="false" outlineLevel="0" collapsed="false">
      <c r="A35" s="18"/>
    </row>
    <row r="37" customFormat="false" ht="15" hidden="false" customHeight="false" outlineLevel="0" collapsed="false">
      <c r="A37" s="29" t="s">
        <v>136</v>
      </c>
    </row>
    <row r="39" customFormat="false" ht="15" hidden="false" customHeight="false" outlineLevel="0" collapsed="false">
      <c r="A39" s="33" t="s">
        <v>106</v>
      </c>
      <c r="B39" s="33" t="n">
        <f aca="false">'3. Nutzen'!B46</f>
        <v>598959.147446339</v>
      </c>
    </row>
    <row r="40" customFormat="false" ht="15" hidden="false" customHeight="false" outlineLevel="0" collapsed="false">
      <c r="A40" s="33" t="s">
        <v>111</v>
      </c>
      <c r="B40" s="40" t="n">
        <f aca="false">'2. Kosten'!C9</f>
        <v>468832</v>
      </c>
    </row>
    <row r="41" customFormat="false" ht="15" hidden="false" customHeight="false" outlineLevel="0" collapsed="false">
      <c r="A41" s="33" t="s">
        <v>137</v>
      </c>
      <c r="B41" s="33" t="n">
        <f aca="false">B39-B40</f>
        <v>130127.147446339</v>
      </c>
    </row>
    <row r="42" customFormat="false" ht="15" hidden="false" customHeight="false" outlineLevel="0" collapsed="false">
      <c r="A42" s="33" t="s">
        <v>138</v>
      </c>
      <c r="B42" s="33" t="n">
        <f aca="false">(B39-B40)/B40</f>
        <v>0.277556027417793</v>
      </c>
    </row>
    <row r="43" customFormat="false" ht="15" hidden="false" customHeight="false" outlineLevel="0" collapsed="false">
      <c r="A43" s="33" t="s">
        <v>139</v>
      </c>
      <c r="B43" s="33" t="n">
        <f aca="false">B40/(B39/12)</f>
        <v>9.39293443298491</v>
      </c>
    </row>
    <row r="45" customFormat="false" ht="15" hidden="false" customHeight="false" outlineLevel="0" collapsed="false">
      <c r="A45" s="31" t="s">
        <v>140</v>
      </c>
    </row>
    <row r="46" customFormat="false" ht="15" hidden="false" customHeight="false" outlineLevel="0" collapsed="false">
      <c r="B46" s="0" t="s">
        <v>141</v>
      </c>
      <c r="C46" s="0" t="s">
        <v>142</v>
      </c>
    </row>
    <row r="47" customFormat="false" ht="15" hidden="false" customHeight="false" outlineLevel="0" collapsed="false">
      <c r="A47" s="0" t="s">
        <v>90</v>
      </c>
      <c r="B47" s="32" t="n">
        <f aca="false">B8</f>
        <v>1197918.29489268</v>
      </c>
      <c r="C47" s="33" t="n">
        <f aca="false">B39</f>
        <v>598959.147446339</v>
      </c>
    </row>
    <row r="48" customFormat="false" ht="15" hidden="false" customHeight="false" outlineLevel="0" collapsed="false">
      <c r="A48" s="0" t="s">
        <v>113</v>
      </c>
      <c r="B48" s="41" t="n">
        <f aca="false">B10</f>
        <v>1.55511205483559</v>
      </c>
      <c r="C48" s="33" t="n">
        <f aca="false">B42</f>
        <v>0.277556027417793</v>
      </c>
    </row>
    <row r="49" customFormat="false" ht="15" hidden="false" customHeight="false" outlineLevel="0" collapsed="false">
      <c r="A49" s="0" t="s">
        <v>114</v>
      </c>
      <c r="B49" s="42" t="n">
        <f aca="false">B11</f>
        <v>4.69646721649245</v>
      </c>
      <c r="C49" s="33" t="n">
        <f aca="false">B43</f>
        <v>9.39293443298491</v>
      </c>
    </row>
    <row r="52" customFormat="false" ht="15" hidden="false" customHeight="false" outlineLevel="0" collapsed="false">
      <c r="A52" s="0" t="s">
        <v>53</v>
      </c>
    </row>
  </sheetData>
  <mergeCells count="4">
    <mergeCell ref="A1:F1"/>
    <mergeCell ref="A5:D5"/>
    <mergeCell ref="A16:G16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20"/>
    <col collapsed="false" customWidth="true" hidden="false" outlineLevel="0" max="3" min="3" style="0" width="15"/>
  </cols>
  <sheetData>
    <row r="1" customFormat="false" ht="22.05" hidden="false" customHeight="false" outlineLevel="0" collapsed="false">
      <c r="A1" s="43" t="s">
        <v>143</v>
      </c>
      <c r="B1" s="43"/>
      <c r="C1" s="43"/>
    </row>
    <row r="3" customFormat="false" ht="15" hidden="false" customHeight="false" outlineLevel="0" collapsed="false">
      <c r="A3" s="18" t="s">
        <v>144</v>
      </c>
    </row>
    <row r="5" customFormat="false" ht="15" hidden="false" customHeight="false" outlineLevel="0" collapsed="false">
      <c r="A5" s="3" t="s">
        <v>145</v>
      </c>
      <c r="B5" s="3"/>
      <c r="C5" s="3"/>
    </row>
    <row r="7" customFormat="false" ht="15" hidden="false" customHeight="false" outlineLevel="0" collapsed="false">
      <c r="A7" s="11" t="s">
        <v>18</v>
      </c>
      <c r="B7" s="44" t="n">
        <f aca="false">'1. Eingaben'!B12</f>
        <v>300</v>
      </c>
    </row>
    <row r="8" customFormat="false" ht="15" hidden="false" customHeight="false" outlineLevel="0" collapsed="false">
      <c r="A8" s="11" t="s">
        <v>146</v>
      </c>
      <c r="B8" s="22" t="n">
        <f aca="false">'1. Eingaben'!B23</f>
        <v>1000</v>
      </c>
    </row>
    <row r="9" customFormat="false" ht="15" hidden="false" customHeight="false" outlineLevel="0" collapsed="false">
      <c r="A9" s="11" t="s">
        <v>147</v>
      </c>
      <c r="B9" s="26" t="n">
        <f aca="false">'1. Eingaben'!B24</f>
        <v>0.739455737588073</v>
      </c>
    </row>
    <row r="10" customFormat="false" ht="15" hidden="false" customHeight="false" outlineLevel="0" collapsed="false">
      <c r="A10" s="11" t="s">
        <v>148</v>
      </c>
      <c r="B10" s="45" t="n">
        <f aca="false">'1. Eingaben'!B33</f>
        <v>9</v>
      </c>
    </row>
    <row r="11" customFormat="false" ht="15" hidden="false" customHeight="false" outlineLevel="0" collapsed="false">
      <c r="A11" s="11" t="s">
        <v>111</v>
      </c>
      <c r="B11" s="22" t="n">
        <f aca="false">'2. Kosten'!C9</f>
        <v>468832</v>
      </c>
    </row>
    <row r="14" customFormat="false" ht="15" hidden="false" customHeight="false" outlineLevel="0" collapsed="false">
      <c r="A14" s="3" t="s">
        <v>149</v>
      </c>
      <c r="B14" s="3"/>
      <c r="C14" s="3"/>
    </row>
    <row r="16" customFormat="false" ht="15" hidden="false" customHeight="false" outlineLevel="0" collapsed="false">
      <c r="A16" s="11" t="s">
        <v>90</v>
      </c>
      <c r="B16" s="22" t="n">
        <f aca="false">'3. Nutzen'!B15</f>
        <v>1197918.29489268</v>
      </c>
    </row>
    <row r="17" customFormat="false" ht="15" hidden="false" customHeight="false" outlineLevel="0" collapsed="false">
      <c r="A17" s="11" t="s">
        <v>113</v>
      </c>
      <c r="B17" s="26" t="n">
        <f aca="false">'4. ROI-Dashboard'!B10</f>
        <v>1.55511205483559</v>
      </c>
    </row>
    <row r="18" customFormat="false" ht="15" hidden="false" customHeight="false" outlineLevel="0" collapsed="false">
      <c r="A18" s="11" t="s">
        <v>114</v>
      </c>
      <c r="B18" s="34" t="n">
        <f aca="false">'4. ROI-Dashboard'!B11</f>
        <v>4.69646721649245</v>
      </c>
    </row>
    <row r="19" customFormat="false" ht="15" hidden="false" customHeight="false" outlineLevel="0" collapsed="false">
      <c r="A19" s="11" t="s">
        <v>86</v>
      </c>
      <c r="B19" s="26" t="n">
        <f aca="false">'3. Nutzen'!B24</f>
        <v>16.3076923076923</v>
      </c>
    </row>
    <row r="20" customFormat="false" ht="15" hidden="false" customHeight="false" outlineLevel="0" collapsed="false">
      <c r="A20" s="11" t="s">
        <v>150</v>
      </c>
      <c r="B20" s="22" t="n">
        <f aca="false">'4. ROI-Dashboard'!G21</f>
        <v>5146359.47446339</v>
      </c>
    </row>
    <row r="22" customFormat="false" ht="15" hidden="false" customHeight="false" outlineLevel="0" collapsed="false">
      <c r="A22" s="7" t="s">
        <v>151</v>
      </c>
    </row>
    <row r="23" customFormat="false" ht="15" hidden="false" customHeight="false" outlineLevel="0" collapsed="false">
      <c r="A23" s="3"/>
      <c r="B23" s="3"/>
      <c r="C23" s="3"/>
    </row>
    <row r="24" customFormat="false" ht="15" hidden="false" customHeight="false" outlineLevel="0" collapsed="false">
      <c r="A24" s="33" t="s">
        <v>106</v>
      </c>
      <c r="B24" s="0" t="n">
        <f aca="false">'3. Nutzen'!B46</f>
        <v>598959.147446339</v>
      </c>
    </row>
    <row r="25" customFormat="false" ht="15" hidden="false" customHeight="false" outlineLevel="0" collapsed="false">
      <c r="A25" s="33" t="s">
        <v>138</v>
      </c>
      <c r="B25" s="0" t="n">
        <f aca="false">'4. ROI-Dashboard'!B42</f>
        <v>0.277556027417793</v>
      </c>
    </row>
    <row r="26" customFormat="false" ht="15" hidden="false" customHeight="false" outlineLevel="0" collapsed="false">
      <c r="A26" s="33" t="s">
        <v>152</v>
      </c>
      <c r="B26" s="0" t="n">
        <f aca="false">'4. ROI-Dashboard'!B43</f>
        <v>9.39293443298491</v>
      </c>
    </row>
    <row r="27" customFormat="false" ht="15" hidden="false" customHeight="false" outlineLevel="0" collapsed="false">
      <c r="A27" s="46" t="s">
        <v>153</v>
      </c>
    </row>
    <row r="28" customFormat="false" ht="15" hidden="false" customHeight="false" outlineLevel="0" collapsed="false">
      <c r="A28" s="31" t="s">
        <v>154</v>
      </c>
    </row>
    <row r="29" customFormat="false" ht="15" hidden="false" customHeight="false" outlineLevel="0" collapsed="false">
      <c r="A29" s="46" t="s">
        <v>155</v>
      </c>
    </row>
    <row r="30" customFormat="false" ht="15" hidden="false" customHeight="false" outlineLevel="0" collapsed="false">
      <c r="A30" s="46" t="s">
        <v>156</v>
      </c>
    </row>
    <row r="31" customFormat="false" ht="15" hidden="false" customHeight="false" outlineLevel="0" collapsed="false">
      <c r="A31" s="8" t="s">
        <v>157</v>
      </c>
    </row>
    <row r="32" customFormat="false" ht="15" hidden="false" customHeight="false" outlineLevel="0" collapsed="false">
      <c r="A32" s="0" t="s">
        <v>158</v>
      </c>
    </row>
    <row r="33" customFormat="false" ht="15" hidden="false" customHeight="false" outlineLevel="0" collapsed="false">
      <c r="A33" s="0" t="s">
        <v>153</v>
      </c>
    </row>
    <row r="34" customFormat="false" ht="15" hidden="false" customHeight="false" outlineLevel="0" collapsed="false">
      <c r="A34" s="18" t="s">
        <v>155</v>
      </c>
    </row>
    <row r="35" customFormat="false" ht="15" hidden="false" customHeight="false" outlineLevel="0" collapsed="false">
      <c r="A35" s="0" t="s">
        <v>159</v>
      </c>
    </row>
    <row r="36" customFormat="false" ht="15" hidden="false" customHeight="false" outlineLevel="0" collapsed="false">
      <c r="A36" s="0" t="s">
        <v>160</v>
      </c>
    </row>
    <row r="37" customFormat="false" ht="15" hidden="false" customHeight="false" outlineLevel="0" collapsed="false">
      <c r="A37" s="8" t="s">
        <v>161</v>
      </c>
    </row>
    <row r="39" customFormat="false" ht="15" hidden="false" customHeight="false" outlineLevel="0" collapsed="false">
      <c r="A39" s="0" t="s">
        <v>53</v>
      </c>
    </row>
  </sheetData>
  <mergeCells count="4">
    <mergeCell ref="A1:C1"/>
    <mergeCell ref="A5:C5"/>
    <mergeCell ref="A14:C14"/>
    <mergeCell ref="A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2026-02-03T09:50:08Z</dcterms:created>
  <dc:creator>openpyxl</dc:creator>
  <dc:description/>
  <dc:language>en-US</dc:language>
  <cp:lastModifiedBy/>
  <dcterms:modified xsi:type="dcterms:W3CDTF">2026-03-09T10:46:46Z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