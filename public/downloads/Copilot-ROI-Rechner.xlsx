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ingaben" sheetId="1" state="visible" r:id="rId1"/>
    <sheet xmlns:r="http://schemas.openxmlformats.org/officeDocument/2006/relationships" name="2. Kosten" sheetId="2" state="visible" r:id="rId2"/>
    <sheet xmlns:r="http://schemas.openxmlformats.org/officeDocument/2006/relationships" name="3. Nutzen" sheetId="3" state="visible" r:id="rId3"/>
    <sheet xmlns:r="http://schemas.openxmlformats.org/officeDocument/2006/relationships" name="4. ROI-Dashboard" sheetId="4" state="visible" r:id="rId4"/>
    <sheet xmlns:r="http://schemas.openxmlformats.org/officeDocument/2006/relationships" name="5. Zusammenfass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€"/>
    <numFmt numFmtId="165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</font>
    <font>
      <b val="1"/>
      <sz val="11"/>
    </font>
    <font>
      <b val="1"/>
      <color rgb="00FFFFFF"/>
      <sz val="12"/>
    </font>
    <font>
      <b val="1"/>
      <color rgb="000000FF"/>
    </font>
    <font>
      <b val="1"/>
      <color rgb="00375623"/>
    </font>
    <font>
      <b val="1"/>
    </font>
    <font>
      <b val="1"/>
      <color rgb="001F4E79"/>
      <sz val="18"/>
    </font>
    <font>
      <b val="1"/>
      <color rgb="00375623"/>
      <sz val="12"/>
    </font>
    <font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5" fillId="4" borderId="1" pivotButton="0" quotePrefix="0" xfId="0"/>
    <xf numFmtId="9" fontId="5" fillId="4" borderId="1" pivotButton="0" quotePrefix="0" xfId="0"/>
    <xf numFmtId="0" fontId="10" fillId="0" borderId="0" pivotButton="0" quotePrefix="0" xfId="0"/>
    <xf numFmtId="0" fontId="1" fillId="0" borderId="0" pivotButton="0" quotePrefix="0" xfId="0"/>
    <xf numFmtId="164" fontId="0" fillId="0" borderId="1" applyAlignment="1" pivotButton="0" quotePrefix="0" xfId="0">
      <alignment horizontal="left"/>
    </xf>
    <xf numFmtId="0" fontId="6" fillId="5" borderId="1" pivotButton="0" quotePrefix="0" xfId="0"/>
    <xf numFmtId="164" fontId="6" fillId="5" borderId="1" pivotButton="0" quotePrefix="0" xfId="0"/>
    <xf numFmtId="0" fontId="7" fillId="0" borderId="0" pivotButton="0" quotePrefix="0" xfId="0"/>
    <xf numFmtId="9" fontId="0" fillId="0" borderId="0" pivotButton="0" quotePrefix="0" xfId="0"/>
    <xf numFmtId="3" fontId="0" fillId="0" borderId="0" pivotButton="0" quotePrefix="0" xfId="0"/>
    <xf numFmtId="9" fontId="6" fillId="5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164" fontId="6" fillId="5" borderId="1" applyAlignment="1" pivotButton="0" quotePrefix="0" xfId="0">
      <alignment horizontal="left"/>
    </xf>
    <xf numFmtId="0" fontId="8" fillId="0" borderId="0" pivotButton="0" quotePrefix="0" xfId="0"/>
    <xf numFmtId="9" fontId="6" fillId="5" borderId="1" pivotButton="0" quotePrefix="0" xfId="0"/>
    <xf numFmtId="165" fontId="6" fillId="5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>
      <c r="A1" s="1" t="inlineStr">
        <is>
          <t>COPILOT ROI-RECHNER - EINGABEN</t>
        </is>
      </c>
    </row>
    <row r="3">
      <c r="A3" s="2" t="inlineStr">
        <is>
          <t>Tragen Sie Ihre Unternehmensdaten in die GELBEN Felder ein</t>
        </is>
      </c>
    </row>
    <row r="5">
      <c r="A5" s="3" t="inlineStr">
        <is>
          <t>UNTERNEHMENSDATEN</t>
        </is>
      </c>
      <c r="B5" s="4" t="n"/>
      <c r="C5" s="4" t="n"/>
      <c r="D5" s="5" t="n"/>
    </row>
    <row r="6">
      <c r="A6" s="6" t="inlineStr">
        <is>
          <t>Parameter</t>
        </is>
      </c>
      <c r="B6" s="6" t="inlineStr">
        <is>
          <t>Wert</t>
        </is>
      </c>
      <c r="C6" s="6" t="inlineStr">
        <is>
          <t>Einheit</t>
        </is>
      </c>
      <c r="D6" s="6" t="inlineStr">
        <is>
          <t>Hinweis</t>
        </is>
      </c>
    </row>
    <row r="7">
      <c r="A7" s="7" t="inlineStr">
        <is>
          <t>Anzahl Copilot-Nutzer</t>
        </is>
      </c>
      <c r="B7" s="8" t="n">
        <v>300</v>
      </c>
      <c r="C7" s="7" t="inlineStr">
        <is>
          <t>Mitarbeiter</t>
        </is>
      </c>
      <c r="D7" s="7" t="inlineStr">
        <is>
          <t>Geplante Lizenzen</t>
        </is>
      </c>
    </row>
    <row r="8">
      <c r="A8" s="7" t="inlineStr">
        <is>
          <t>Durchschnittlicher Stundensatz</t>
        </is>
      </c>
      <c r="B8" s="8" t="n">
        <v>50</v>
      </c>
      <c r="C8" s="7" t="inlineStr">
        <is>
          <t>€/Stunde</t>
        </is>
      </c>
      <c r="D8" s="7" t="inlineStr">
        <is>
          <t>Vollkosten inkl. Nebenkosten</t>
        </is>
      </c>
    </row>
    <row r="9">
      <c r="A9" s="7" t="inlineStr">
        <is>
          <t>Arbeitsstunden pro Woche</t>
        </is>
      </c>
      <c r="B9" s="8" t="n">
        <v>40</v>
      </c>
      <c r="C9" s="7" t="inlineStr">
        <is>
          <t>Stunden</t>
        </is>
      </c>
      <c r="D9" s="7" t="inlineStr">
        <is>
          <t>Standard: 40</t>
        </is>
      </c>
    </row>
    <row r="10">
      <c r="A10" s="7" t="inlineStr">
        <is>
          <t>Arbeitswochen pro Jahr</t>
        </is>
      </c>
      <c r="B10" s="8" t="n">
        <v>48</v>
      </c>
      <c r="C10" s="7" t="inlineStr">
        <is>
          <t>Wochen</t>
        </is>
      </c>
      <c r="D10" s="7" t="inlineStr">
        <is>
          <t>Abzgl. Urlaub/Feiertage</t>
        </is>
      </c>
    </row>
    <row r="12">
      <c r="A12" s="3" t="inlineStr">
        <is>
          <t>LIZENZKOSTEN</t>
        </is>
      </c>
      <c r="B12" s="4" t="n"/>
      <c r="C12" s="4" t="n"/>
      <c r="D12" s="5" t="n"/>
    </row>
    <row r="13">
      <c r="A13" s="6" t="inlineStr">
        <is>
          <t>Parameter</t>
        </is>
      </c>
      <c r="B13" s="6" t="inlineStr">
        <is>
          <t>Wert</t>
        </is>
      </c>
      <c r="C13" s="6" t="inlineStr">
        <is>
          <t>Einheit</t>
        </is>
      </c>
      <c r="D13" s="6" t="inlineStr">
        <is>
          <t>Hinweis</t>
        </is>
      </c>
    </row>
    <row r="14">
      <c r="A14" s="7" t="inlineStr">
        <is>
          <t>Copilot Lizenzkosten pro Monat</t>
        </is>
      </c>
      <c r="B14" s="8" t="n">
        <v>30</v>
      </c>
      <c r="C14" s="7" t="inlineStr">
        <is>
          <t>€/Nutzer</t>
        </is>
      </c>
      <c r="D14" s="7" t="inlineStr">
        <is>
          <t>M365 Copilot: €30</t>
        </is>
      </c>
    </row>
    <row r="15">
      <c r="A15" s="7" t="inlineStr">
        <is>
          <t>Training pro Mitarbeiter</t>
        </is>
      </c>
      <c r="B15" s="8" t="n">
        <v>800</v>
      </c>
      <c r="C15" s="7" t="inlineStr">
        <is>
          <t>€ einmalig</t>
        </is>
      </c>
      <c r="D15" s="7" t="inlineStr">
        <is>
          <t>Empfohlen: €500-1.500</t>
        </is>
      </c>
    </row>
    <row r="16">
      <c r="A16" s="7" t="inlineStr">
        <is>
          <t>IT-Setup (einmalig)</t>
        </is>
      </c>
      <c r="B16" s="8" t="n">
        <v>25000</v>
      </c>
      <c r="C16" s="7" t="inlineStr">
        <is>
          <t>€</t>
        </is>
      </c>
      <c r="D16" s="7" t="inlineStr">
        <is>
          <t>Integration, Rollout</t>
        </is>
      </c>
    </row>
    <row r="17">
      <c r="A17" s="7" t="inlineStr">
        <is>
          <t>Change Management (einmalig)</t>
        </is>
      </c>
      <c r="B17" s="8" t="n">
        <v>20000</v>
      </c>
      <c r="C17" s="7" t="inlineStr">
        <is>
          <t>€</t>
        </is>
      </c>
      <c r="D17" s="7" t="inlineStr">
        <is>
          <t>10-15% der Gesamtkosten</t>
        </is>
      </c>
    </row>
    <row r="20">
      <c r="A20" s="3" t="inlineStr">
        <is>
          <t>PRODUKTIVITÄTSANNAHMEN (SZENARIEN)</t>
        </is>
      </c>
      <c r="B20" s="4" t="n"/>
      <c r="C20" s="4" t="n"/>
      <c r="D20" s="5" t="n"/>
    </row>
    <row r="21">
      <c r="A21" s="6" t="inlineStr">
        <is>
          <t>Szenario</t>
        </is>
      </c>
      <c r="B21" s="6" t="inlineStr">
        <is>
          <t>Zeitersparnis</t>
        </is>
      </c>
      <c r="C21" s="6" t="inlineStr">
        <is>
          <t>Adoption</t>
        </is>
      </c>
      <c r="D21" s="6" t="inlineStr">
        <is>
          <t>Lernkurve (Monate)</t>
        </is>
      </c>
    </row>
    <row r="22">
      <c r="A22" s="7" t="inlineStr">
        <is>
          <t>Konservativ</t>
        </is>
      </c>
      <c r="B22" s="9" t="n">
        <v>0.15</v>
      </c>
      <c r="C22" s="9" t="n">
        <v>0.5</v>
      </c>
      <c r="D22" s="8" t="n">
        <v>6</v>
      </c>
    </row>
    <row r="23">
      <c r="A23" s="7" t="inlineStr">
        <is>
          <t>Realistisch</t>
        </is>
      </c>
      <c r="B23" s="9" t="n">
        <v>0.25</v>
      </c>
      <c r="C23" s="9" t="n">
        <v>0.7</v>
      </c>
      <c r="D23" s="8" t="n">
        <v>3</v>
      </c>
    </row>
    <row r="24">
      <c r="A24" s="7" t="inlineStr">
        <is>
          <t>Optimistisch</t>
        </is>
      </c>
      <c r="B24" s="9" t="n">
        <v>0.35</v>
      </c>
      <c r="C24" s="9" t="n">
        <v>0.9</v>
      </c>
      <c r="D24" s="8" t="n">
        <v>1</v>
      </c>
    </row>
    <row r="27">
      <c r="A27" s="10" t="inlineStr">
        <is>
          <t>© copilotenschule.de - ROI-Rechner für Microsoft Copilot</t>
        </is>
      </c>
    </row>
  </sheetData>
  <mergeCells count="4">
    <mergeCell ref="A1:D1"/>
    <mergeCell ref="A12:D12"/>
    <mergeCell ref="A20:D20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8" customWidth="1" min="4" max="4"/>
    <col width="18" customWidth="1" min="5" max="5"/>
  </cols>
  <sheetData>
    <row r="1">
      <c r="A1" s="11" t="inlineStr">
        <is>
          <t>KOSTENKALKULATION</t>
        </is>
      </c>
    </row>
    <row r="3">
      <c r="A3" s="6" t="inlineStr">
        <is>
          <t>Kostenart</t>
        </is>
      </c>
      <c r="B3" s="6" t="inlineStr">
        <is>
          <t>Anzahl</t>
        </is>
      </c>
      <c r="C3" s="6" t="inlineStr">
        <is>
          <t>Preis (€)</t>
        </is>
      </c>
      <c r="D3" s="6" t="inlineStr">
        <is>
          <t>Jahr 1 (€)</t>
        </is>
      </c>
      <c r="E3" s="6" t="inlineStr">
        <is>
          <t>Jahre 2-5 (€/Jahr)</t>
        </is>
      </c>
    </row>
    <row r="4">
      <c r="A4" s="7" t="inlineStr">
        <is>
          <t>Lizenzen (12 Monate)</t>
        </is>
      </c>
      <c r="B4" s="7">
        <f>'1. Eingaben'!B7</f>
        <v/>
      </c>
      <c r="C4" s="12">
        <f>'1. Eingaben'!B14*12</f>
        <v/>
      </c>
      <c r="D4" s="12">
        <f>B4*C4</f>
        <v/>
      </c>
      <c r="E4" s="12">
        <f>D4</f>
        <v/>
      </c>
    </row>
    <row r="5">
      <c r="A5" s="7" t="inlineStr">
        <is>
          <t>Training &amp; Schulung</t>
        </is>
      </c>
      <c r="B5" s="7">
        <f>'1. Eingaben'!B7</f>
        <v/>
      </c>
      <c r="C5" s="12">
        <f>'1. Eingaben'!B15</f>
        <v/>
      </c>
      <c r="D5" s="12">
        <f>B5*C5</f>
        <v/>
      </c>
      <c r="E5" s="12" t="n">
        <v>0</v>
      </c>
    </row>
    <row r="6">
      <c r="A6" s="7" t="inlineStr">
        <is>
          <t>IT-Setup &amp; Integration</t>
        </is>
      </c>
      <c r="B6" s="7" t="n">
        <v>1</v>
      </c>
      <c r="C6" s="12">
        <f>'1. Eingaben'!B16</f>
        <v/>
      </c>
      <c r="D6" s="12">
        <f>B6*C6</f>
        <v/>
      </c>
      <c r="E6" s="12" t="n">
        <v>0</v>
      </c>
    </row>
    <row r="7">
      <c r="A7" s="7" t="inlineStr">
        <is>
          <t>Change Management</t>
        </is>
      </c>
      <c r="B7" s="7" t="n">
        <v>1</v>
      </c>
      <c r="C7" s="12">
        <f>'1. Eingaben'!B17</f>
        <v/>
      </c>
      <c r="D7" s="12">
        <f>B7*C7</f>
        <v/>
      </c>
      <c r="E7" s="12" t="n">
        <v>0</v>
      </c>
    </row>
    <row r="9">
      <c r="A9" s="13" t="inlineStr">
        <is>
          <t>TOTAL KOSTEN</t>
        </is>
      </c>
      <c r="B9" s="13" t="n"/>
      <c r="C9" s="13" t="n"/>
      <c r="D9" s="14">
        <f>SUM(D4:D7)</f>
        <v/>
      </c>
      <c r="E9" s="14">
        <f>SUM(E4:E7)</f>
        <v/>
      </c>
    </row>
    <row r="12">
      <c r="A12" s="10" t="inlineStr">
        <is>
          <t>© copilotenschule.de - ROI-Rechner für Microsoft Copilot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1" t="inlineStr">
        <is>
          <t>NUTZENBERECHNUNG PRO SZENARIO</t>
        </is>
      </c>
    </row>
    <row r="3">
      <c r="A3" s="15" t="inlineStr">
        <is>
          <t>Berechnungsgrundlage:</t>
        </is>
      </c>
    </row>
    <row r="4">
      <c r="A4" s="7" t="inlineStr">
        <is>
          <t>Arbeitszeit pro Nutzer/Jahr (Stunden)</t>
        </is>
      </c>
      <c r="B4" s="7">
        <f>'1. Eingaben'!B9*'1. Eingaben'!B10</f>
        <v/>
      </c>
    </row>
    <row r="5">
      <c r="A5" s="7" t="inlineStr">
        <is>
          <t>Gesamtarbeitszeit alle Nutzer (Stunden)</t>
        </is>
      </c>
      <c r="B5" s="7">
        <f>B4*'1. Eingaben'!B7</f>
        <v/>
      </c>
    </row>
    <row r="6">
      <c r="A6" s="7" t="inlineStr">
        <is>
          <t>Stundensatz</t>
        </is>
      </c>
      <c r="B6" s="12">
        <f>'1. Eingaben'!B8</f>
        <v/>
      </c>
    </row>
    <row r="8">
      <c r="A8" s="3" t="inlineStr">
        <is>
          <t>KONSERVATIVES SZENARIO</t>
        </is>
      </c>
      <c r="B8" s="4" t="n"/>
      <c r="C8" s="4" t="n"/>
      <c r="D8" s="5" t="n"/>
    </row>
    <row r="9">
      <c r="A9" t="inlineStr">
        <is>
          <t>Zeitersparnis</t>
        </is>
      </c>
      <c r="B9" s="16">
        <f>'1. Eingaben'!B22</f>
        <v/>
      </c>
    </row>
    <row r="10">
      <c r="A10" t="inlineStr">
        <is>
          <t>Adoption-Rate</t>
        </is>
      </c>
      <c r="B10" s="16">
        <f>'1. Eingaben'!C22</f>
        <v/>
      </c>
    </row>
    <row r="11">
      <c r="A11" t="inlineStr">
        <is>
          <t>Effektive Stundeneinsparung/Jahr</t>
        </is>
      </c>
      <c r="B11" s="17">
        <f>B5*B9*B10</f>
        <v/>
      </c>
    </row>
    <row r="12">
      <c r="A12" s="13" t="inlineStr">
        <is>
          <t>NUTZEN KONSERVATIV (€/Jahr)</t>
        </is>
      </c>
      <c r="B12" s="14">
        <f>B11*B6</f>
        <v/>
      </c>
    </row>
    <row r="14">
      <c r="A14" s="3" t="inlineStr">
        <is>
          <t>REALISTISCHES SZENARIO</t>
        </is>
      </c>
      <c r="B14" s="4" t="n"/>
      <c r="C14" s="4" t="n"/>
      <c r="D14" s="5" t="n"/>
    </row>
    <row r="15">
      <c r="A15" t="inlineStr">
        <is>
          <t>Zeitersparnis</t>
        </is>
      </c>
      <c r="B15" s="16">
        <f>'1. Eingaben'!B23</f>
        <v/>
      </c>
    </row>
    <row r="16">
      <c r="A16" t="inlineStr">
        <is>
          <t>Adoption-Rate</t>
        </is>
      </c>
      <c r="B16" s="16">
        <f>'1. Eingaben'!C23</f>
        <v/>
      </c>
    </row>
    <row r="17">
      <c r="A17" t="inlineStr">
        <is>
          <t>Effektive Stundeneinsparung/Jahr</t>
        </is>
      </c>
      <c r="B17" s="17">
        <f>B5*B15*B16</f>
        <v/>
      </c>
    </row>
    <row r="18">
      <c r="A18" s="13" t="inlineStr">
        <is>
          <t>NUTZEN REALISTISCH (€/Jahr)</t>
        </is>
      </c>
      <c r="B18" s="14">
        <f>B17*B6</f>
        <v/>
      </c>
    </row>
    <row r="20">
      <c r="A20" s="3" t="inlineStr">
        <is>
          <t>OPTIMISTISCHES SZENARIO</t>
        </is>
      </c>
      <c r="B20" s="4" t="n"/>
      <c r="C20" s="4" t="n"/>
      <c r="D20" s="5" t="n"/>
    </row>
    <row r="21">
      <c r="A21" t="inlineStr">
        <is>
          <t>Zeitersparnis</t>
        </is>
      </c>
      <c r="B21" s="16">
        <f>'1. Eingaben'!B24</f>
        <v/>
      </c>
    </row>
    <row r="22">
      <c r="A22" t="inlineStr">
        <is>
          <t>Adoption-Rate</t>
        </is>
      </c>
      <c r="B22" s="16">
        <f>'1. Eingaben'!C24</f>
        <v/>
      </c>
    </row>
    <row r="23">
      <c r="A23" t="inlineStr">
        <is>
          <t>Effektive Stundeneinsparung/Jahr</t>
        </is>
      </c>
      <c r="B23" s="17">
        <f>B5*B21*B22</f>
        <v/>
      </c>
    </row>
    <row r="24">
      <c r="A24" s="13" t="inlineStr">
        <is>
          <t>NUTZEN OPTIMISTISCH (€/Jahr)</t>
        </is>
      </c>
      <c r="B24" s="14">
        <f>B23*B6</f>
        <v/>
      </c>
    </row>
    <row r="27">
      <c r="A27" s="10" t="inlineStr">
        <is>
          <t>© copilotenschule.de - ROI-Rechner für Microsoft Copilot</t>
        </is>
      </c>
    </row>
  </sheetData>
  <mergeCells count="4">
    <mergeCell ref="A20:D20"/>
    <mergeCell ref="A1:F1"/>
    <mergeCell ref="A8:D8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ROI-DASHBOARD &amp; BREAK-EVEN ANALYSE</t>
        </is>
      </c>
    </row>
    <row r="3">
      <c r="A3" s="3" t="inlineStr">
        <is>
          <t>ROI-ÜBERSICHT (JAHR 1)</t>
        </is>
      </c>
      <c r="B3" s="4" t="n"/>
      <c r="C3" s="4" t="n"/>
      <c r="D3" s="5" t="n"/>
    </row>
    <row r="4">
      <c r="A4" s="6" t="inlineStr">
        <is>
          <t>Szenario</t>
        </is>
      </c>
      <c r="B4" s="6" t="inlineStr">
        <is>
          <t>Kosten (€)</t>
        </is>
      </c>
      <c r="C4" s="6" t="inlineStr">
        <is>
          <t>Nutzen (€)</t>
        </is>
      </c>
      <c r="D4" s="6" t="inlineStr">
        <is>
          <t>ROI (%)</t>
        </is>
      </c>
    </row>
    <row r="5">
      <c r="A5" s="7" t="inlineStr">
        <is>
          <t>Konservativ</t>
        </is>
      </c>
      <c r="B5" s="12">
        <f>'2. Kosten'!D9</f>
        <v/>
      </c>
      <c r="C5" s="12">
        <f>'3. Nutzen'!B12</f>
        <v/>
      </c>
      <c r="D5" s="18">
        <f>(C5-B5)/B5</f>
        <v/>
      </c>
    </row>
    <row r="6">
      <c r="A6" s="7" t="inlineStr">
        <is>
          <t>Realistisch</t>
        </is>
      </c>
      <c r="B6" s="12">
        <f>'2. Kosten'!D9</f>
        <v/>
      </c>
      <c r="C6" s="12">
        <f>'3. Nutzen'!B18</f>
        <v/>
      </c>
      <c r="D6" s="18">
        <f>(C6-B6)/B6</f>
        <v/>
      </c>
    </row>
    <row r="7">
      <c r="A7" s="7" t="inlineStr">
        <is>
          <t>Optimistisch</t>
        </is>
      </c>
      <c r="B7" s="12">
        <f>'2. Kosten'!D9</f>
        <v/>
      </c>
      <c r="C7" s="12">
        <f>'3. Nutzen'!B24</f>
        <v/>
      </c>
      <c r="D7" s="18">
        <f>(C7-B7)/B7</f>
        <v/>
      </c>
    </row>
    <row r="10">
      <c r="A10" s="3" t="inlineStr">
        <is>
          <t>BREAK-EVEN ANALYSE</t>
        </is>
      </c>
      <c r="B10" s="4" t="n"/>
      <c r="C10" s="4" t="n"/>
      <c r="D10" s="5" t="n"/>
    </row>
    <row r="11">
      <c r="A11" s="6" t="inlineStr">
        <is>
          <t>Szenario</t>
        </is>
      </c>
      <c r="B11" s="6" t="inlineStr">
        <is>
          <t>Monatlicher Nutzen</t>
        </is>
      </c>
      <c r="C11" s="6" t="inlineStr">
        <is>
          <t>Break-even (Monate)</t>
        </is>
      </c>
    </row>
    <row r="12">
      <c r="A12" s="7" t="inlineStr">
        <is>
          <t>Konservativ</t>
        </is>
      </c>
      <c r="B12" s="12">
        <f>'3. Nutzen'!B12/12</f>
        <v/>
      </c>
      <c r="C12" s="19">
        <f>'2. Kosten'!D9/B12</f>
        <v/>
      </c>
    </row>
    <row r="13">
      <c r="A13" s="7" t="inlineStr">
        <is>
          <t>Realistisch</t>
        </is>
      </c>
      <c r="B13" s="12">
        <f>'3. Nutzen'!B18/12</f>
        <v/>
      </c>
      <c r="C13" s="19">
        <f>'2. Kosten'!D9/B13</f>
        <v/>
      </c>
    </row>
    <row r="14">
      <c r="A14" s="7" t="inlineStr">
        <is>
          <t>Optimistisch</t>
        </is>
      </c>
      <c r="B14" s="12">
        <f>'3. Nutzen'!B24/12</f>
        <v/>
      </c>
      <c r="C14" s="19">
        <f>'2. Kosten'!D9/B14</f>
        <v/>
      </c>
    </row>
    <row r="17">
      <c r="A17" s="3" t="inlineStr">
        <is>
          <t>5-JAHRES-PROGNOSE (REALISTISCHES SZENARIO)</t>
        </is>
      </c>
      <c r="B17" s="4" t="n"/>
      <c r="C17" s="4" t="n"/>
      <c r="D17" s="4" t="n"/>
      <c r="E17" s="4" t="n"/>
      <c r="F17" s="4" t="n"/>
      <c r="G17" s="5" t="n"/>
    </row>
    <row r="18">
      <c r="A18" s="6" t="inlineStr"/>
      <c r="B18" s="6" t="inlineStr">
        <is>
          <t>Jahr 1</t>
        </is>
      </c>
      <c r="C18" s="6" t="inlineStr">
        <is>
          <t>Jahr 2</t>
        </is>
      </c>
      <c r="D18" s="6" t="inlineStr">
        <is>
          <t>Jahr 3</t>
        </is>
      </c>
      <c r="E18" s="6" t="inlineStr">
        <is>
          <t>Jahr 4</t>
        </is>
      </c>
      <c r="F18" s="6" t="inlineStr">
        <is>
          <t>Jahr 5</t>
        </is>
      </c>
      <c r="G18" s="6" t="inlineStr">
        <is>
          <t>TOTAL</t>
        </is>
      </c>
    </row>
    <row r="19">
      <c r="A19" s="7" t="inlineStr">
        <is>
          <t>Kosten</t>
        </is>
      </c>
      <c r="B19" s="12">
        <f>'2. Kosten'!D9</f>
        <v/>
      </c>
      <c r="C19" s="12">
        <f>'2. Kosten'!E9</f>
        <v/>
      </c>
      <c r="D19" s="12">
        <f>'2. Kosten'!E9</f>
        <v/>
      </c>
      <c r="E19" s="12">
        <f>'2. Kosten'!E9</f>
        <v/>
      </c>
      <c r="F19" s="12">
        <f>'2. Kosten'!E9</f>
        <v/>
      </c>
      <c r="G19" s="12">
        <f>SUM(B19:F19)</f>
        <v/>
      </c>
    </row>
    <row r="20">
      <c r="A20" s="7" t="inlineStr">
        <is>
          <t>Nutzen</t>
        </is>
      </c>
      <c r="B20" s="12">
        <f>'3. Nutzen'!B18</f>
        <v/>
      </c>
      <c r="C20" s="12">
        <f>'3. Nutzen'!B18</f>
        <v/>
      </c>
      <c r="D20" s="12">
        <f>'3. Nutzen'!B18</f>
        <v/>
      </c>
      <c r="E20" s="12">
        <f>'3. Nutzen'!B18</f>
        <v/>
      </c>
      <c r="F20" s="12">
        <f>'3. Nutzen'!B18</f>
        <v/>
      </c>
      <c r="G20" s="12">
        <f>SUM(B20:F20)</f>
        <v/>
      </c>
    </row>
    <row r="21">
      <c r="A21" s="7" t="inlineStr">
        <is>
          <t>Netto-Nutzen</t>
        </is>
      </c>
      <c r="B21" s="12">
        <f>B20-B19</f>
        <v/>
      </c>
      <c r="C21" s="12">
        <f>C20-C19</f>
        <v/>
      </c>
      <c r="D21" s="12">
        <f>D20-D19</f>
        <v/>
      </c>
      <c r="E21" s="12">
        <f>E20-E19</f>
        <v/>
      </c>
      <c r="F21" s="12">
        <f>F20-F19</f>
        <v/>
      </c>
      <c r="G21" s="12">
        <f>SUM(B21:F21)</f>
        <v/>
      </c>
    </row>
    <row r="22">
      <c r="A22" s="20" t="inlineStr">
        <is>
          <t>Kumuliert</t>
        </is>
      </c>
      <c r="B22" s="21">
        <f>B21</f>
        <v/>
      </c>
      <c r="C22" s="21">
        <f>B22+C21</f>
        <v/>
      </c>
      <c r="D22" s="21">
        <f>C22+D21</f>
        <v/>
      </c>
      <c r="E22" s="21">
        <f>D22+E21</f>
        <v/>
      </c>
      <c r="F22" s="21">
        <f>E22+F21</f>
        <v/>
      </c>
      <c r="G22" s="21">
        <f>F22</f>
        <v/>
      </c>
    </row>
    <row r="25">
      <c r="A25" s="10" t="inlineStr">
        <is>
          <t>© copilotenschule.de - ROI-Rechner für Microsoft Copilot</t>
        </is>
      </c>
    </row>
  </sheetData>
  <mergeCells count="4">
    <mergeCell ref="A10:D10"/>
    <mergeCell ref="A1:F1"/>
    <mergeCell ref="A3:D3"/>
    <mergeCell ref="A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22" t="inlineStr">
        <is>
          <t>EXECUTIVE SUMMARY</t>
        </is>
      </c>
    </row>
    <row r="3">
      <c r="A3" s="3" t="inlineStr">
        <is>
          <t>INVESTITIONSÜBERSICHT</t>
        </is>
      </c>
      <c r="B3" s="4" t="n"/>
      <c r="C3" s="5" t="n"/>
    </row>
    <row r="4">
      <c r="A4" s="7" t="inlineStr">
        <is>
          <t>Anzahl Copilot-Nutzer</t>
        </is>
      </c>
      <c r="B4" s="13">
        <f>'1. Eingaben'!B7</f>
        <v/>
      </c>
    </row>
    <row r="5">
      <c r="A5" s="7" t="inlineStr">
        <is>
          <t>Investition Jahr 1</t>
        </is>
      </c>
      <c r="B5" s="14">
        <f>'2. Kosten'!D9</f>
        <v/>
      </c>
    </row>
    <row r="6">
      <c r="A6" s="7" t="inlineStr">
        <is>
          <t>Jährliche Kosten (ab Jahr 2)</t>
        </is>
      </c>
      <c r="B6" s="14">
        <f>'2. Kosten'!E9</f>
        <v/>
      </c>
    </row>
    <row r="9">
      <c r="A9" s="3" t="inlineStr">
        <is>
          <t>REALISTISCHES SZENARIO</t>
        </is>
      </c>
      <c r="B9" s="4" t="n"/>
      <c r="C9" s="5" t="n"/>
    </row>
    <row r="10">
      <c r="A10" s="7" t="inlineStr">
        <is>
          <t>Erwarteter Nutzen (Jahr 1)</t>
        </is>
      </c>
      <c r="B10" s="14">
        <f>'3. Nutzen'!B18</f>
        <v/>
      </c>
    </row>
    <row r="11">
      <c r="A11" s="7" t="inlineStr">
        <is>
          <t>ROI Jahr 1</t>
        </is>
      </c>
      <c r="B11" s="23">
        <f>'4. ROI-Dashboard'!D6</f>
        <v/>
      </c>
    </row>
    <row r="12">
      <c r="A12" s="7" t="inlineStr">
        <is>
          <t>Break-even</t>
        </is>
      </c>
      <c r="B12" s="24">
        <f>'4. ROI-Dashboard'!C13</f>
        <v/>
      </c>
    </row>
    <row r="13">
      <c r="A13" s="7" t="inlineStr">
        <is>
          <t>5-Jahres Netto-Nutzen</t>
        </is>
      </c>
      <c r="B13" s="14">
        <f>'4. ROI-Dashboard'!G22</f>
        <v/>
      </c>
    </row>
    <row r="16">
      <c r="A16" s="3" t="inlineStr">
        <is>
          <t>EMPFEHLUNG</t>
        </is>
      </c>
      <c r="B16" s="4" t="n"/>
      <c r="C16" s="5" t="n"/>
    </row>
    <row r="18">
      <c r="A18" t="inlineStr">
        <is>
          <t>Bei den angegebenen Parametern empfehlen wir:</t>
        </is>
      </c>
    </row>
    <row r="19">
      <c r="A19" s="25" t="inlineStr">
        <is>
          <t>✅ Copilot-Einführung durchführen</t>
        </is>
      </c>
    </row>
    <row r="21">
      <c r="A21" t="inlineStr">
        <is>
          <t>Der Break-even wird im realistischen Szenario nach</t>
        </is>
      </c>
    </row>
    <row r="22">
      <c r="A22" t="inlineStr">
        <is>
          <t>ca. 3-6 Monaten erreicht.</t>
        </is>
      </c>
    </row>
    <row r="25">
      <c r="A25" s="10" t="inlineStr">
        <is>
          <t>© copilotenschule.de - ROI-Rechner für Microsoft Copilot</t>
        </is>
      </c>
    </row>
  </sheetData>
  <mergeCells count="4">
    <mergeCell ref="A1:D1"/>
    <mergeCell ref="A3:C3"/>
    <mergeCell ref="A16:C16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2026-02-03T09:22:27Z</dcterms:created>
  <dcterms:modified xmlns:dcterms="http://purl.org/dc/terms/" xmlns:xsi="http://www.w3.org/2001/XMLSchema-instance" xsi:type="dcterms:W3CDTF">2026-02-03T09:22:27Z</dcterms:modified>
</cp:coreProperties>
</file>